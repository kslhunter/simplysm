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mplysm-my.sharepoint.com/personal/shyoon_simplysm_net/Documents/_영업문서/견적서/호아텍/에이디텍/1. 견적서/"/>
    </mc:Choice>
  </mc:AlternateContent>
  <xr:revisionPtr revIDLastSave="27" documentId="8_{19F9D13A-FDCA-4B55-A552-FE7513E163CA}" xr6:coauthVersionLast="47" xr6:coauthVersionMax="47" xr10:uidLastSave="{8E230289-D4C3-48F4-A7E9-3423CFD1833F}"/>
  <bookViews>
    <workbookView xWindow="19260" yWindow="15" windowWidth="19140" windowHeight="20970" activeTab="1" xr2:uid="{00000000-000D-0000-FFFF-FFFF00000000}"/>
  </bookViews>
  <sheets>
    <sheet name="Chart1" sheetId="3" r:id="rId1"/>
    <sheet name="견적서" sheetId="2" r:id="rId2"/>
  </sheets>
  <definedNames>
    <definedName name="_xlnm.Print_Area" localSheetId="1">견적서!$B$7:$K$82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2" i="2" l="1"/>
  <c r="N32" i="2" s="1"/>
  <c r="B27" i="2"/>
  <c r="K77" i="2" l="1"/>
  <c r="K78" i="2" s="1"/>
  <c r="K79" i="2" s="1"/>
  <c r="K81" i="2" s="1"/>
  <c r="L81" i="2" l="1"/>
  <c r="J50" i="2" s="1"/>
  <c r="K50" i="2" s="1"/>
  <c r="J60" i="2"/>
  <c r="K60" i="2" s="1"/>
  <c r="J47" i="2"/>
  <c r="K47" i="2" s="1"/>
  <c r="J52" i="2"/>
  <c r="K52" i="2" s="1"/>
  <c r="K37" i="2" s="1"/>
  <c r="J33" i="2"/>
  <c r="K33" i="2" s="1"/>
  <c r="K32" i="2" s="1"/>
  <c r="J68" i="2"/>
  <c r="K68" i="2" s="1"/>
  <c r="K67" i="2" s="1"/>
  <c r="J45" i="2" l="1"/>
  <c r="K45" i="2" s="1"/>
  <c r="J38" i="2"/>
  <c r="K38" i="2" s="1"/>
  <c r="J63" i="2"/>
  <c r="K63" i="2" s="1"/>
  <c r="J66" i="2"/>
  <c r="K66" i="2" s="1"/>
  <c r="J55" i="2"/>
  <c r="K55" i="2" s="1"/>
  <c r="K59" i="2"/>
  <c r="K72" i="2" l="1"/>
  <c r="K17" i="2" s="1"/>
  <c r="B15" i="2"/>
  <c r="P3" i="2"/>
  <c r="P4" i="2"/>
  <c r="K21" i="2"/>
  <c r="D21" i="2" s="1"/>
  <c r="P5" i="2"/>
</calcChain>
</file>

<file path=xl/sharedStrings.xml><?xml version="1.0" encoding="utf-8"?>
<sst xmlns="http://schemas.openxmlformats.org/spreadsheetml/2006/main" count="126" uniqueCount="103">
  <si>
    <t>가격 제안서</t>
    <phoneticPr fontId="6" type="noConversion"/>
  </si>
  <si>
    <t>구분</t>
    <phoneticPr fontId="6" type="noConversion"/>
  </si>
  <si>
    <t>품명 및 사양</t>
    <phoneticPr fontId="6" type="noConversion"/>
  </si>
  <si>
    <t>단위</t>
    <phoneticPr fontId="6" type="noConversion"/>
  </si>
  <si>
    <t>수량</t>
    <phoneticPr fontId="6" type="noConversion"/>
  </si>
  <si>
    <t>단가</t>
    <phoneticPr fontId="6" type="noConversion"/>
  </si>
  <si>
    <t>공급가</t>
    <phoneticPr fontId="6" type="noConversion"/>
  </si>
  <si>
    <t xml:space="preserve">(단위: 원, VAT 별도) </t>
    <phoneticPr fontId="6" type="noConversion"/>
  </si>
  <si>
    <t xml:space="preserve"> 비고</t>
    <phoneticPr fontId="6" type="noConversion"/>
  </si>
  <si>
    <t>작성일</t>
    <phoneticPr fontId="6" type="noConversion"/>
  </si>
  <si>
    <t xml:space="preserve"> 심플리즘</t>
    <phoneticPr fontId="6" type="noConversion"/>
  </si>
  <si>
    <t>제안사</t>
    <phoneticPr fontId="6" type="noConversion"/>
  </si>
  <si>
    <t>구축</t>
    <phoneticPr fontId="6" type="noConversion"/>
  </si>
  <si>
    <t>안정화</t>
    <phoneticPr fontId="6" type="noConversion"/>
  </si>
  <si>
    <t>1. 요약</t>
    <phoneticPr fontId="6" type="noConversion"/>
  </si>
  <si>
    <t xml:space="preserve"> 서울시 금천구 가산디지털1로 30
 (가산동, 에이스하이엔드10차) 813호</t>
    <phoneticPr fontId="6" type="noConversion"/>
  </si>
  <si>
    <t>(VAT 별도)</t>
    <phoneticPr fontId="6" type="noConversion"/>
  </si>
  <si>
    <t>시스템
구축</t>
    <phoneticPr fontId="6" type="noConversion"/>
  </si>
  <si>
    <t xml:space="preserve"> - 무상 유지보수는 구축 후 1년입니다.</t>
    <phoneticPr fontId="6" type="noConversion"/>
  </si>
  <si>
    <t xml:space="preserve"> - 견적 유효 기간 : 30일</t>
    <phoneticPr fontId="6" type="noConversion"/>
  </si>
  <si>
    <t>착수금</t>
    <phoneticPr fontId="6" type="noConversion"/>
  </si>
  <si>
    <t>중도금</t>
    <phoneticPr fontId="6" type="noConversion"/>
  </si>
  <si>
    <t>잔금</t>
    <phoneticPr fontId="6" type="noConversion"/>
  </si>
  <si>
    <t>구축비용</t>
    <phoneticPr fontId="6" type="noConversion"/>
  </si>
  <si>
    <t>제경비</t>
    <phoneticPr fontId="6" type="noConversion"/>
  </si>
  <si>
    <t>기술료</t>
    <phoneticPr fontId="6" type="noConversion"/>
  </si>
  <si>
    <t>사용자 교육</t>
    <phoneticPr fontId="6" type="noConversion"/>
  </si>
  <si>
    <t>결제조건</t>
    <phoneticPr fontId="6" type="noConversion"/>
  </si>
  <si>
    <t>내용</t>
    <phoneticPr fontId="6" type="noConversion"/>
  </si>
  <si>
    <t>값</t>
    <phoneticPr fontId="6" type="noConversion"/>
  </si>
  <si>
    <t>계산값</t>
    <phoneticPr fontId="6" type="noConversion"/>
  </si>
  <si>
    <t>-</t>
    <phoneticPr fontId="6" type="noConversion"/>
  </si>
  <si>
    <t>업무 프로세스 분석</t>
    <phoneticPr fontId="6" type="noConversion"/>
  </si>
  <si>
    <t>세부 요구사항 분석 및 정의</t>
    <phoneticPr fontId="6" type="noConversion"/>
  </si>
  <si>
    <t>분석
설계</t>
    <phoneticPr fontId="6" type="noConversion"/>
  </si>
  <si>
    <t>시스템 분석 및 설계</t>
    <phoneticPr fontId="6" type="noConversion"/>
  </si>
  <si>
    <t>단위테스트</t>
    <phoneticPr fontId="6" type="noConversion"/>
  </si>
  <si>
    <t>통합테스트</t>
    <phoneticPr fontId="6" type="noConversion"/>
  </si>
  <si>
    <t>2. 견적 세부내역</t>
    <phoneticPr fontId="6" type="noConversion"/>
  </si>
  <si>
    <t>금액</t>
    <phoneticPr fontId="6" type="noConversion"/>
  </si>
  <si>
    <t>직접인건비</t>
    <phoneticPr fontId="6" type="noConversion"/>
  </si>
  <si>
    <t>직접인건비의 144~154%</t>
    <phoneticPr fontId="6" type="noConversion"/>
  </si>
  <si>
    <t>(직접인건비+제경비)의 20~40%</t>
    <phoneticPr fontId="6" type="noConversion"/>
  </si>
  <si>
    <t>대가산정 가이드</t>
    <phoneticPr fontId="6" type="noConversion"/>
  </si>
  <si>
    <t>평균임금 (응용SW개발자, M/M)</t>
    <phoneticPr fontId="6" type="noConversion"/>
  </si>
  <si>
    <t>3. 단가산정표</t>
    <phoneticPr fontId="6" type="noConversion"/>
  </si>
  <si>
    <t>합계금액</t>
    <phoneticPr fontId="6" type="noConversion"/>
  </si>
  <si>
    <t>직접인건비 + 제경비 + 기술료</t>
    <phoneticPr fontId="6" type="noConversion"/>
  </si>
  <si>
    <t>직접경비</t>
    <phoneticPr fontId="6" type="noConversion"/>
  </si>
  <si>
    <t>보정값</t>
    <phoneticPr fontId="6" type="noConversion"/>
  </si>
  <si>
    <t>심플리즘 인건비 보정</t>
    <phoneticPr fontId="6" type="noConversion"/>
  </si>
  <si>
    <t>※ 한국소프트웨어산업협회의 "대가산정가이드" 및 "노임단가"를 기준으로 산정하였습니다.</t>
    <phoneticPr fontId="6" type="noConversion"/>
  </si>
  <si>
    <t>주  소</t>
    <phoneticPr fontId="6" type="noConversion"/>
  </si>
  <si>
    <t>제  목</t>
    <phoneticPr fontId="6" type="noConversion"/>
  </si>
  <si>
    <t>수  신</t>
    <phoneticPr fontId="6" type="noConversion"/>
  </si>
  <si>
    <t>테스트 및 교육</t>
    <phoneticPr fontId="6" type="noConversion"/>
  </si>
  <si>
    <t>항목 행 높이 : 20</t>
    <phoneticPr fontId="6" type="noConversion"/>
  </si>
  <si>
    <t>비고 행 높이 : 15</t>
    <phoneticPr fontId="6" type="noConversion"/>
  </si>
  <si>
    <t>회색 보더 : 목록, 좌1, 3번째</t>
    <phoneticPr fontId="6" type="noConversion"/>
  </si>
  <si>
    <t>파랑 보더 : 목록, 좌2, 3번째</t>
    <phoneticPr fontId="6" type="noConversion"/>
  </si>
  <si>
    <t>PDA 프로그램</t>
    <phoneticPr fontId="6" type="noConversion"/>
  </si>
  <si>
    <t>수정요청 처리</t>
    <phoneticPr fontId="6" type="noConversion"/>
  </si>
  <si>
    <t xml:space="preserve"> - 문의: 윤석환 팀장 (010-5537-0003)</t>
    <phoneticPr fontId="6" type="noConversion"/>
  </si>
  <si>
    <t>출고관리</t>
    <phoneticPr fontId="6" type="noConversion"/>
  </si>
  <si>
    <t>재고관리</t>
    <phoneticPr fontId="6" type="noConversion"/>
  </si>
  <si>
    <t>M/D</t>
    <phoneticPr fontId="6" type="noConversion"/>
  </si>
  <si>
    <t>㈜호아텍</t>
    <phoneticPr fontId="6" type="noConversion"/>
  </si>
  <si>
    <t>입고관리</t>
    <phoneticPr fontId="6" type="noConversion"/>
  </si>
  <si>
    <t>입고등록</t>
    <phoneticPr fontId="6" type="noConversion"/>
  </si>
  <si>
    <t>출고등록</t>
    <phoneticPr fontId="6" type="noConversion"/>
  </si>
  <si>
    <t>사용자정보</t>
    <phoneticPr fontId="6" type="noConversion"/>
  </si>
  <si>
    <t>에이디텍 창고관리 프로그램</t>
    <phoneticPr fontId="6" type="noConversion"/>
  </si>
  <si>
    <t>창고관리 프로그램</t>
    <phoneticPr fontId="6" type="noConversion"/>
  </si>
  <si>
    <t>WEB 프로그램</t>
    <phoneticPr fontId="6" type="noConversion"/>
  </si>
  <si>
    <t>Database 설계</t>
    <phoneticPr fontId="6" type="noConversion"/>
  </si>
  <si>
    <t>화면 설계</t>
    <phoneticPr fontId="6" type="noConversion"/>
  </si>
  <si>
    <t>마스터관리</t>
    <phoneticPr fontId="6" type="noConversion"/>
  </si>
  <si>
    <t>권한정보</t>
    <phoneticPr fontId="6" type="noConversion"/>
  </si>
  <si>
    <t>거래처정보</t>
    <phoneticPr fontId="6" type="noConversion"/>
  </si>
  <si>
    <t>제품정보</t>
    <phoneticPr fontId="6" type="noConversion"/>
  </si>
  <si>
    <t>거래처별 제품정보</t>
    <phoneticPr fontId="6" type="noConversion"/>
  </si>
  <si>
    <t>창고정보</t>
    <phoneticPr fontId="6" type="noConversion"/>
  </si>
  <si>
    <t>재고조정 사유정보</t>
    <phoneticPr fontId="6" type="noConversion"/>
  </si>
  <si>
    <t>입고정보</t>
    <phoneticPr fontId="6" type="noConversion"/>
  </si>
  <si>
    <t>LOT추적</t>
    <phoneticPr fontId="6" type="noConversion"/>
  </si>
  <si>
    <t>재고조회</t>
    <phoneticPr fontId="6" type="noConversion"/>
  </si>
  <si>
    <t>재고이동내역</t>
    <phoneticPr fontId="6" type="noConversion"/>
  </si>
  <si>
    <t>재고조정내역</t>
    <phoneticPr fontId="6" type="noConversion"/>
  </si>
  <si>
    <t>주문정보(고객PO)</t>
    <phoneticPr fontId="6" type="noConversion"/>
  </si>
  <si>
    <t>현황관리</t>
    <phoneticPr fontId="6" type="noConversion"/>
  </si>
  <si>
    <t>단가변동내역</t>
    <phoneticPr fontId="6" type="noConversion"/>
  </si>
  <si>
    <t>입고현황</t>
    <phoneticPr fontId="6" type="noConversion"/>
  </si>
  <si>
    <t>출고현황</t>
    <phoneticPr fontId="6" type="noConversion"/>
  </si>
  <si>
    <t>매입/매출현황</t>
    <phoneticPr fontId="6" type="noConversion"/>
  </si>
  <si>
    <t>재고이동등록</t>
    <phoneticPr fontId="6" type="noConversion"/>
  </si>
  <si>
    <t>재고조정등록</t>
    <phoneticPr fontId="6" type="noConversion"/>
  </si>
  <si>
    <t>출고정보</t>
    <phoneticPr fontId="6" type="noConversion"/>
  </si>
  <si>
    <t>입고취소</t>
    <phoneticPr fontId="6" type="noConversion"/>
  </si>
  <si>
    <t xml:space="preserve"> - 프로그램 납기 : 계약체결 후 3개월</t>
    <phoneticPr fontId="6" type="noConversion"/>
  </si>
  <si>
    <t>FCST관리</t>
    <phoneticPr fontId="6" type="noConversion"/>
  </si>
  <si>
    <t>FCST등록</t>
    <phoneticPr fontId="6" type="noConversion"/>
  </si>
  <si>
    <t>FCST 월별 집계</t>
    <phoneticPr fontId="6" type="noConversion"/>
  </si>
  <si>
    <t>FCST 주차별 집계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</si>
</sst>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_);[Red]\(0.0\)"/>
    <numFmt numFmtId="177" formatCode="_-* #,##0_-;\-* #,##0_-;_-* &quot;-&quot;??_-;_-@_-"/>
    <numFmt numFmtId="178" formatCode="_-* #,##0_-;\-* #,##0_-;_-* &quot;-&quot;?_-;_-@_-"/>
  </numFmts>
  <fonts count="23" x14ac:knownFonts="1">
    <font>
      <sz val="10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25"/>
      <color theme="0"/>
      <name val="맑은 고딕"/>
      <family val="3"/>
      <charset val="129"/>
      <scheme val="minor"/>
    </font>
    <font>
      <b/>
      <sz val="10"/>
      <color theme="4" tint="-0.499984740745262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1" fontId="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4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0" fillId="0" borderId="0" xfId="0" applyFont="1"/>
    <xf numFmtId="0" fontId="8" fillId="0" borderId="0" xfId="0" applyFont="1" applyAlignment="1">
      <alignment vertical="center"/>
    </xf>
    <xf numFmtId="31" fontId="0" fillId="0" borderId="0" xfId="0" applyNumberFormat="1" applyAlignment="1">
      <alignment horizontal="left" vertical="center"/>
    </xf>
    <xf numFmtId="0" fontId="8" fillId="0" borderId="0" xfId="0" applyFont="1" applyAlignment="1">
      <alignment horizontal="distributed" vertical="center"/>
    </xf>
    <xf numFmtId="31" fontId="0" fillId="0" borderId="0" xfId="0" applyNumberForma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right" vertical="top"/>
    </xf>
    <xf numFmtId="0" fontId="0" fillId="0" borderId="0" xfId="0" applyAlignment="1">
      <alignment horizontal="center" vertical="top"/>
    </xf>
    <xf numFmtId="31" fontId="0" fillId="0" borderId="0" xfId="0" applyNumberForma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  <xf numFmtId="31" fontId="0" fillId="0" borderId="0" xfId="0" quotePrefix="1" applyNumberFormat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9" fillId="6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9" fillId="6" borderId="10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13" fillId="0" borderId="0" xfId="0" applyFont="1"/>
    <xf numFmtId="0" fontId="10" fillId="0" borderId="12" xfId="0" applyFont="1" applyBorder="1" applyAlignment="1">
      <alignment vertical="center" wrapText="1"/>
    </xf>
    <xf numFmtId="0" fontId="10" fillId="0" borderId="12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/>
    </xf>
    <xf numFmtId="0" fontId="10" fillId="0" borderId="0" xfId="0" applyFont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41" fontId="10" fillId="0" borderId="0" xfId="1" applyFont="1" applyBorder="1" applyAlignment="1">
      <alignment vertical="center"/>
    </xf>
    <xf numFmtId="0" fontId="14" fillId="8" borderId="6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distributed" vertical="center"/>
    </xf>
    <xf numFmtId="0" fontId="14" fillId="5" borderId="0" xfId="0" applyFont="1" applyFill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10" borderId="17" xfId="0" applyFont="1" applyFill="1" applyBorder="1" applyAlignment="1">
      <alignment horizontal="distributed" vertical="center"/>
    </xf>
    <xf numFmtId="0" fontId="14" fillId="5" borderId="18" xfId="0" applyFont="1" applyFill="1" applyBorder="1" applyAlignment="1">
      <alignment horizontal="center" vertical="center"/>
    </xf>
    <xf numFmtId="0" fontId="14" fillId="10" borderId="18" xfId="0" applyFont="1" applyFill="1" applyBorder="1" applyAlignment="1">
      <alignment horizontal="distributed" vertical="center"/>
    </xf>
    <xf numFmtId="0" fontId="14" fillId="3" borderId="17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41" fontId="11" fillId="9" borderId="1" xfId="1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21" fillId="7" borderId="13" xfId="0" applyFont="1" applyFill="1" applyBorder="1" applyAlignment="1">
      <alignment vertical="center"/>
    </xf>
    <xf numFmtId="0" fontId="21" fillId="7" borderId="1" xfId="0" applyFont="1" applyFill="1" applyBorder="1" applyAlignment="1">
      <alignment vertical="center"/>
    </xf>
    <xf numFmtId="41" fontId="21" fillId="7" borderId="1" xfId="1" applyFont="1" applyFill="1" applyBorder="1" applyAlignment="1">
      <alignment vertical="center"/>
    </xf>
    <xf numFmtId="0" fontId="21" fillId="7" borderId="9" xfId="0" applyFont="1" applyFill="1" applyBorder="1" applyAlignment="1">
      <alignment vertical="center"/>
    </xf>
    <xf numFmtId="41" fontId="21" fillId="7" borderId="9" xfId="1" applyFont="1" applyFill="1" applyBorder="1" applyAlignment="1">
      <alignment vertical="center"/>
    </xf>
    <xf numFmtId="0" fontId="21" fillId="7" borderId="8" xfId="0" applyFont="1" applyFill="1" applyBorder="1" applyAlignment="1">
      <alignment vertical="center"/>
    </xf>
    <xf numFmtId="176" fontId="19" fillId="7" borderId="16" xfId="1" applyNumberFormat="1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vertical="center"/>
    </xf>
    <xf numFmtId="41" fontId="12" fillId="9" borderId="9" xfId="1" applyFont="1" applyFill="1" applyBorder="1" applyAlignment="1">
      <alignment vertical="center"/>
    </xf>
    <xf numFmtId="0" fontId="10" fillId="0" borderId="0" xfId="0" quotePrefix="1" applyFont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41" fontId="10" fillId="0" borderId="9" xfId="1" applyFont="1" applyBorder="1" applyAlignment="1">
      <alignment vertical="center"/>
    </xf>
    <xf numFmtId="177" fontId="10" fillId="0" borderId="9" xfId="0" applyNumberFormat="1" applyFont="1" applyBorder="1" applyAlignment="1">
      <alignment vertical="center"/>
    </xf>
    <xf numFmtId="177" fontId="9" fillId="0" borderId="9" xfId="0" applyNumberFormat="1" applyFont="1" applyBorder="1" applyAlignment="1">
      <alignment vertical="center"/>
    </xf>
    <xf numFmtId="41" fontId="9" fillId="0" borderId="9" xfId="1" applyFont="1" applyBorder="1" applyAlignment="1">
      <alignment horizontal="left" vertical="center" indent="1"/>
    </xf>
    <xf numFmtId="41" fontId="0" fillId="0" borderId="15" xfId="0" applyNumberFormat="1" applyBorder="1"/>
    <xf numFmtId="0" fontId="9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0" fillId="0" borderId="11" xfId="0" applyFont="1" applyBorder="1" applyAlignment="1">
      <alignment vertical="center" wrapText="1"/>
    </xf>
    <xf numFmtId="0" fontId="10" fillId="0" borderId="10" xfId="0" applyFont="1" applyBorder="1" applyAlignment="1">
      <alignment horizontal="left" vertical="center" wrapText="1"/>
    </xf>
    <xf numFmtId="177" fontId="10" fillId="0" borderId="0" xfId="0" applyNumberFormat="1" applyFont="1" applyAlignment="1">
      <alignment vertical="center"/>
    </xf>
    <xf numFmtId="0" fontId="10" fillId="0" borderId="3" xfId="0" quotePrefix="1" applyFont="1" applyBorder="1" applyAlignment="1">
      <alignment horizontal="left" vertical="center" wrapText="1"/>
    </xf>
    <xf numFmtId="0" fontId="10" fillId="0" borderId="2" xfId="0" quotePrefix="1" applyFont="1" applyBorder="1" applyAlignment="1">
      <alignment horizontal="left" vertical="center" wrapText="1"/>
    </xf>
    <xf numFmtId="0" fontId="19" fillId="7" borderId="16" xfId="0" applyFont="1" applyFill="1" applyBorder="1" applyAlignment="1">
      <alignment horizontal="center" vertical="center"/>
    </xf>
    <xf numFmtId="41" fontId="19" fillId="7" borderId="16" xfId="1" applyFont="1" applyFill="1" applyBorder="1" applyAlignment="1">
      <alignment vertical="center"/>
    </xf>
    <xf numFmtId="176" fontId="0" fillId="0" borderId="0" xfId="0" applyNumberFormat="1"/>
    <xf numFmtId="9" fontId="22" fillId="0" borderId="15" xfId="2" applyFont="1" applyBorder="1" applyAlignment="1"/>
    <xf numFmtId="9" fontId="22" fillId="0" borderId="15" xfId="0" applyNumberFormat="1" applyFont="1" applyBorder="1"/>
    <xf numFmtId="41" fontId="21" fillId="7" borderId="8" xfId="1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176" fontId="10" fillId="0" borderId="5" xfId="1" applyNumberFormat="1" applyFont="1" applyBorder="1" applyAlignment="1">
      <alignment horizontal="center" vertical="center"/>
    </xf>
    <xf numFmtId="41" fontId="10" fillId="0" borderId="5" xfId="1" applyFont="1" applyBorder="1" applyAlignment="1">
      <alignment horizontal="center" vertical="center"/>
    </xf>
    <xf numFmtId="178" fontId="10" fillId="0" borderId="10" xfId="0" applyNumberFormat="1" applyFont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1" fillId="7" borderId="1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right" vertical="center"/>
    </xf>
    <xf numFmtId="0" fontId="20" fillId="0" borderId="1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1" fillId="7" borderId="4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vertical="center"/>
    </xf>
    <xf numFmtId="0" fontId="21" fillId="7" borderId="14" xfId="0" applyFont="1" applyFill="1" applyBorder="1" applyAlignment="1">
      <alignment vertical="center"/>
    </xf>
    <xf numFmtId="0" fontId="10" fillId="0" borderId="0" xfId="0" quotePrefix="1" applyFont="1" applyAlignment="1">
      <alignment horizontal="left" vertical="center" wrapText="1"/>
    </xf>
    <xf numFmtId="0" fontId="10" fillId="0" borderId="3" xfId="0" quotePrefix="1" applyFont="1" applyBorder="1" applyAlignment="1">
      <alignment horizontal="left" vertical="center" wrapText="1"/>
    </xf>
    <xf numFmtId="176" fontId="10" fillId="0" borderId="5" xfId="1" applyNumberFormat="1" applyFont="1" applyBorder="1" applyAlignment="1">
      <alignment horizontal="center" vertical="center"/>
    </xf>
    <xf numFmtId="176" fontId="10" fillId="0" borderId="6" xfId="1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41" fontId="10" fillId="0" borderId="5" xfId="1" applyFont="1" applyBorder="1" applyAlignment="1">
      <alignment horizontal="center" vertical="center"/>
    </xf>
    <xf numFmtId="41" fontId="10" fillId="0" borderId="6" xfId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21" fillId="7" borderId="9" xfId="0" applyFont="1" applyFill="1" applyBorder="1" applyAlignment="1">
      <alignment horizontal="center" vertical="center" wrapText="1"/>
    </xf>
    <xf numFmtId="0" fontId="21" fillId="7" borderId="14" xfId="0" applyFont="1" applyFill="1" applyBorder="1" applyAlignment="1">
      <alignment horizontal="center" vertical="center" wrapText="1"/>
    </xf>
    <xf numFmtId="9" fontId="21" fillId="4" borderId="8" xfId="0" applyNumberFormat="1" applyFont="1" applyFill="1" applyBorder="1" applyAlignment="1">
      <alignment horizontal="center" vertical="center" wrapText="1"/>
    </xf>
    <xf numFmtId="9" fontId="21" fillId="4" borderId="14" xfId="0" applyNumberFormat="1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0" fontId="21" fillId="7" borderId="1" xfId="0" applyFont="1" applyFill="1" applyBorder="1" applyAlignment="1">
      <alignment vertical="center"/>
    </xf>
    <xf numFmtId="0" fontId="21" fillId="7" borderId="4" xfId="0" applyFont="1" applyFill="1" applyBorder="1" applyAlignment="1">
      <alignment vertical="center"/>
    </xf>
    <xf numFmtId="0" fontId="8" fillId="10" borderId="17" xfId="0" applyFont="1" applyFill="1" applyBorder="1" applyAlignment="1">
      <alignment vertical="center" wrapText="1"/>
    </xf>
    <xf numFmtId="0" fontId="0" fillId="10" borderId="18" xfId="0" applyFill="1" applyBorder="1" applyAlignment="1">
      <alignment vertical="center" wrapText="1"/>
    </xf>
    <xf numFmtId="31" fontId="0" fillId="10" borderId="0" xfId="0" quotePrefix="1" applyNumberForma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/>
    </xf>
    <xf numFmtId="31" fontId="8" fillId="10" borderId="17" xfId="0" applyNumberFormat="1" applyFont="1" applyFill="1" applyBorder="1" applyAlignment="1">
      <alignment horizontal="left" vertical="center" wrapText="1"/>
    </xf>
    <xf numFmtId="31" fontId="18" fillId="10" borderId="17" xfId="0" applyNumberFormat="1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center" vertical="center"/>
    </xf>
    <xf numFmtId="31" fontId="0" fillId="10" borderId="0" xfId="0" applyNumberForma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right"/>
    </xf>
    <xf numFmtId="0" fontId="8" fillId="0" borderId="19" xfId="0" applyFont="1" applyBorder="1" applyAlignment="1">
      <alignment horizontal="left" vertical="center"/>
    </xf>
    <xf numFmtId="0" fontId="14" fillId="8" borderId="0" xfId="0" applyFont="1" applyFill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41" fontId="0" fillId="0" borderId="5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7" xfId="1" applyFon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13" xfId="1" applyFont="1" applyBorder="1" applyAlignment="1">
      <alignment horizontal="center" vertical="center"/>
    </xf>
    <xf numFmtId="176" fontId="20" fillId="0" borderId="5" xfId="1" applyNumberFormat="1" applyFont="1" applyBorder="1" applyAlignment="1">
      <alignment horizontal="center" vertical="center"/>
    </xf>
    <xf numFmtId="176" fontId="20" fillId="0" borderId="6" xfId="1" applyNumberFormat="1" applyFont="1" applyBorder="1" applyAlignment="1">
      <alignment horizontal="center" vertical="center"/>
    </xf>
    <xf numFmtId="176" fontId="20" fillId="0" borderId="7" xfId="1" applyNumberFormat="1" applyFont="1" applyBorder="1" applyAlignment="1">
      <alignment horizontal="center" vertical="center"/>
    </xf>
    <xf numFmtId="178" fontId="10" fillId="0" borderId="10" xfId="0" applyNumberFormat="1" applyFont="1" applyBorder="1" applyAlignment="1">
      <alignment horizontal="center" vertical="center"/>
    </xf>
    <xf numFmtId="178" fontId="10" fillId="0" borderId="2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11" xfId="0" applyFont="1" applyBorder="1" applyAlignment="1">
      <alignment horizontal="left"/>
    </xf>
    <xf numFmtId="0" fontId="11" fillId="9" borderId="1" xfId="0" applyFont="1" applyFill="1" applyBorder="1" applyAlignment="1">
      <alignment horizontal="right" vertical="center"/>
    </xf>
    <xf numFmtId="178" fontId="10" fillId="0" borderId="0" xfId="0" applyNumberFormat="1" applyFont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</cellXfs>
  <cellStyles count="8">
    <cellStyle name="백분율" xfId="2" builtinId="5"/>
    <cellStyle name="쉼표 [0]" xfId="1" builtinId="6"/>
    <cellStyle name="쉼표 [0] 2" xfId="5" xr:uid="{99E5414C-1325-49B3-BEA9-8B9DA62DE944}"/>
    <cellStyle name="표준" xfId="0" builtinId="0" customBuiltin="1"/>
    <cellStyle name="표준 2" xfId="3" xr:uid="{865ECD5B-CCF6-4016-8F71-9A1913D07068}"/>
    <cellStyle name="표준 3" xfId="4" xr:uid="{C6A8C268-4DD0-453B-86A6-5F5E873892F2}"/>
    <cellStyle name="표준 4" xfId="6" xr:uid="{BA3C6A97-FC68-40E6-8EFA-9ACE6EABEDF2}"/>
    <cellStyle name="표준 5" xfId="7" xr:uid="{9314BC57-2CDA-45D1-940E-3F4E817F03CF}"/>
  </cellStyles>
  <dxfs count="0"/>
  <tableStyles count="0" defaultTableStyle="TableStyleMedium2" defaultPivotStyle="PivotStyleLight16"/>
  <colors>
    <mruColors>
      <color rgb="FFECF4FA"/>
      <color rgb="FF4E617A"/>
      <color rgb="FF546882"/>
      <color rgb="FF2F75B5"/>
      <color rgb="FF333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견적서!$C$30:$C$31</c:f>
              <c:strCache>
                <c:ptCount val="2"/>
                <c:pt idx="0">
                  <c:v>2. 견적 세부내역</c:v>
                </c:pt>
                <c:pt idx="1">
                  <c:v>품명 및 사양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견적서!$B$32:$B$72</c:f>
              <c:strCache>
                <c:ptCount val="41"/>
                <c:pt idx="0">
                  <c:v>분석
설계</c:v>
                </c:pt>
                <c:pt idx="5">
                  <c:v>구축</c:v>
                </c:pt>
                <c:pt idx="35">
                  <c:v>안정화</c:v>
                </c:pt>
                <c:pt idx="40">
                  <c:v>구축비용</c:v>
                </c:pt>
              </c:strCache>
            </c:strRef>
          </c:cat>
          <c:val>
            <c:numRef>
              <c:f>견적서!$C$32:$C$72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0-ADE1-44BB-BA7C-C04C9B2D0859}"/>
            </c:ext>
          </c:extLst>
        </c:ser>
        <c:ser>
          <c:idx val="1"/>
          <c:order val="1"/>
          <c:tx>
            <c:strRef>
              <c:f>견적서!$D$30:$D$31</c:f>
              <c:strCache>
                <c:ptCount val="2"/>
                <c:pt idx="0">
                  <c:v>2. 견적 세부내역</c:v>
                </c:pt>
                <c:pt idx="1">
                  <c:v>품명 및 사양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견적서!$B$32:$B$72</c:f>
              <c:strCache>
                <c:ptCount val="41"/>
                <c:pt idx="0">
                  <c:v>분석
설계</c:v>
                </c:pt>
                <c:pt idx="5">
                  <c:v>구축</c:v>
                </c:pt>
                <c:pt idx="35">
                  <c:v>안정화</c:v>
                </c:pt>
                <c:pt idx="40">
                  <c:v>구축비용</c:v>
                </c:pt>
              </c:strCache>
            </c:strRef>
          </c:cat>
          <c:val>
            <c:numRef>
              <c:f>견적서!$D$32:$D$72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13">
                  <c:v>0</c:v>
                </c:pt>
                <c:pt idx="15">
                  <c:v>0</c:v>
                </c:pt>
                <c:pt idx="18">
                  <c:v>0</c:v>
                </c:pt>
                <c:pt idx="20">
                  <c:v>0</c:v>
                </c:pt>
                <c:pt idx="23">
                  <c:v>0</c:v>
                </c:pt>
                <c:pt idx="27">
                  <c:v>0</c:v>
                </c:pt>
                <c:pt idx="28">
                  <c:v>0</c:v>
                </c:pt>
                <c:pt idx="31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E1-44BB-BA7C-C04C9B2D0859}"/>
            </c:ext>
          </c:extLst>
        </c:ser>
        <c:ser>
          <c:idx val="2"/>
          <c:order val="2"/>
          <c:tx>
            <c:strRef>
              <c:f>견적서!$E$30:$E$31</c:f>
              <c:strCache>
                <c:ptCount val="2"/>
                <c:pt idx="0">
                  <c:v>2. 견적 세부내역</c:v>
                </c:pt>
                <c:pt idx="1">
                  <c:v>품명 및 사양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견적서!$B$32:$B$72</c:f>
              <c:strCache>
                <c:ptCount val="41"/>
                <c:pt idx="0">
                  <c:v>분석
설계</c:v>
                </c:pt>
                <c:pt idx="5">
                  <c:v>구축</c:v>
                </c:pt>
                <c:pt idx="35">
                  <c:v>안정화</c:v>
                </c:pt>
                <c:pt idx="40">
                  <c:v>구축비용</c:v>
                </c:pt>
              </c:strCache>
            </c:strRef>
          </c:cat>
          <c:val>
            <c:numRef>
              <c:f>견적서!$E$32:$E$72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2-ADE1-44BB-BA7C-C04C9B2D0859}"/>
            </c:ext>
          </c:extLst>
        </c:ser>
        <c:ser>
          <c:idx val="3"/>
          <c:order val="3"/>
          <c:tx>
            <c:strRef>
              <c:f>견적서!$F$30:$F$31</c:f>
              <c:strCache>
                <c:ptCount val="2"/>
                <c:pt idx="0">
                  <c:v>2. 견적 세부내역</c:v>
                </c:pt>
                <c:pt idx="1">
                  <c:v>품명 및 사양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견적서!$B$32:$B$72</c:f>
              <c:strCache>
                <c:ptCount val="41"/>
                <c:pt idx="0">
                  <c:v>분석
설계</c:v>
                </c:pt>
                <c:pt idx="5">
                  <c:v>구축</c:v>
                </c:pt>
                <c:pt idx="35">
                  <c:v>안정화</c:v>
                </c:pt>
                <c:pt idx="40">
                  <c:v>구축비용</c:v>
                </c:pt>
              </c:strCache>
            </c:strRef>
          </c:cat>
          <c:val>
            <c:numRef>
              <c:f>견적서!$F$32:$F$72</c:f>
              <c:numCache>
                <c:formatCode>General</c:formatCode>
                <c:ptCount val="41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E1-44BB-BA7C-C04C9B2D0859}"/>
            </c:ext>
          </c:extLst>
        </c:ser>
        <c:ser>
          <c:idx val="4"/>
          <c:order val="4"/>
          <c:tx>
            <c:strRef>
              <c:f>견적서!$G$30:$G$31</c:f>
              <c:strCache>
                <c:ptCount val="2"/>
                <c:pt idx="0">
                  <c:v>2. 견적 세부내역</c:v>
                </c:pt>
                <c:pt idx="1">
                  <c:v>품명 및 사양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견적서!$B$32:$B$72</c:f>
              <c:strCache>
                <c:ptCount val="41"/>
                <c:pt idx="0">
                  <c:v>분석
설계</c:v>
                </c:pt>
                <c:pt idx="5">
                  <c:v>구축</c:v>
                </c:pt>
                <c:pt idx="35">
                  <c:v>안정화</c:v>
                </c:pt>
                <c:pt idx="40">
                  <c:v>구축비용</c:v>
                </c:pt>
              </c:strCache>
            </c:strRef>
          </c:cat>
          <c:val>
            <c:numRef>
              <c:f>견적서!$G$32:$G$72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4-ADE1-44BB-BA7C-C04C9B2D0859}"/>
            </c:ext>
          </c:extLst>
        </c:ser>
        <c:ser>
          <c:idx val="5"/>
          <c:order val="5"/>
          <c:tx>
            <c:strRef>
              <c:f>견적서!$H$30:$H$31</c:f>
              <c:strCache>
                <c:ptCount val="2"/>
                <c:pt idx="0">
                  <c:v>2. 견적 세부내역</c:v>
                </c:pt>
                <c:pt idx="1">
                  <c:v>단위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견적서!$B$32:$B$72</c:f>
              <c:strCache>
                <c:ptCount val="41"/>
                <c:pt idx="0">
                  <c:v>분석
설계</c:v>
                </c:pt>
                <c:pt idx="5">
                  <c:v>구축</c:v>
                </c:pt>
                <c:pt idx="35">
                  <c:v>안정화</c:v>
                </c:pt>
                <c:pt idx="40">
                  <c:v>구축비용</c:v>
                </c:pt>
              </c:strCache>
            </c:strRef>
          </c:cat>
          <c:val>
            <c:numRef>
              <c:f>견적서!$H$32:$H$72</c:f>
              <c:numCache>
                <c:formatCode>General</c:formatCode>
                <c:ptCount val="41"/>
                <c:pt idx="1">
                  <c:v>0</c:v>
                </c:pt>
                <c:pt idx="6">
                  <c:v>0</c:v>
                </c:pt>
                <c:pt idx="13">
                  <c:v>0</c:v>
                </c:pt>
                <c:pt idx="15">
                  <c:v>0</c:v>
                </c:pt>
                <c:pt idx="18">
                  <c:v>0</c:v>
                </c:pt>
                <c:pt idx="20">
                  <c:v>0</c:v>
                </c:pt>
                <c:pt idx="23">
                  <c:v>0</c:v>
                </c:pt>
                <c:pt idx="28">
                  <c:v>0</c:v>
                </c:pt>
                <c:pt idx="31">
                  <c:v>0</c:v>
                </c:pt>
                <c:pt idx="34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E1-44BB-BA7C-C04C9B2D0859}"/>
            </c:ext>
          </c:extLst>
        </c:ser>
        <c:ser>
          <c:idx val="6"/>
          <c:order val="6"/>
          <c:tx>
            <c:strRef>
              <c:f>견적서!$I$30:$I$31</c:f>
              <c:strCache>
                <c:ptCount val="2"/>
                <c:pt idx="0">
                  <c:v>2. 견적 세부내역</c:v>
                </c:pt>
                <c:pt idx="1">
                  <c:v>수량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견적서!$B$32:$B$72</c:f>
              <c:strCache>
                <c:ptCount val="41"/>
                <c:pt idx="0">
                  <c:v>분석
설계</c:v>
                </c:pt>
                <c:pt idx="5">
                  <c:v>구축</c:v>
                </c:pt>
                <c:pt idx="35">
                  <c:v>안정화</c:v>
                </c:pt>
                <c:pt idx="40">
                  <c:v>구축비용</c:v>
                </c:pt>
              </c:strCache>
            </c:strRef>
          </c:cat>
          <c:val>
            <c:numRef>
              <c:f>견적서!$I$32:$I$72</c:f>
              <c:numCache>
                <c:formatCode>0.0_);[Red]\(0.0\)</c:formatCode>
                <c:ptCount val="41"/>
                <c:pt idx="1">
                  <c:v>10</c:v>
                </c:pt>
                <c:pt idx="6">
                  <c:v>6</c:v>
                </c:pt>
                <c:pt idx="13">
                  <c:v>5</c:v>
                </c:pt>
                <c:pt idx="15">
                  <c:v>7</c:v>
                </c:pt>
                <c:pt idx="18">
                  <c:v>5</c:v>
                </c:pt>
                <c:pt idx="20">
                  <c:v>10</c:v>
                </c:pt>
                <c:pt idx="23">
                  <c:v>7</c:v>
                </c:pt>
                <c:pt idx="28">
                  <c:v>4</c:v>
                </c:pt>
                <c:pt idx="31">
                  <c:v>5</c:v>
                </c:pt>
                <c:pt idx="34">
                  <c:v>2</c:v>
                </c:pt>
                <c:pt idx="3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E1-44BB-BA7C-C04C9B2D0859}"/>
            </c:ext>
          </c:extLst>
        </c:ser>
        <c:ser>
          <c:idx val="7"/>
          <c:order val="7"/>
          <c:tx>
            <c:strRef>
              <c:f>견적서!$J$30:$J$31</c:f>
              <c:strCache>
                <c:ptCount val="2"/>
                <c:pt idx="0">
                  <c:v>2. 견적 세부내역</c:v>
                </c:pt>
                <c:pt idx="1">
                  <c:v>단가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견적서!$B$32:$B$72</c:f>
              <c:strCache>
                <c:ptCount val="41"/>
                <c:pt idx="0">
                  <c:v>분석
설계</c:v>
                </c:pt>
                <c:pt idx="5">
                  <c:v>구축</c:v>
                </c:pt>
                <c:pt idx="35">
                  <c:v>안정화</c:v>
                </c:pt>
                <c:pt idx="40">
                  <c:v>구축비용</c:v>
                </c:pt>
              </c:strCache>
            </c:strRef>
          </c:cat>
          <c:val>
            <c:numRef>
              <c:f>견적서!$J$32:$J$72</c:f>
              <c:numCache>
                <c:formatCode>_(* #,##0_);_(* \(#,##0\);_(* "-"_);_(@_)</c:formatCode>
                <c:ptCount val="41"/>
                <c:pt idx="1">
                  <c:v>752000</c:v>
                </c:pt>
                <c:pt idx="6">
                  <c:v>752000</c:v>
                </c:pt>
                <c:pt idx="13">
                  <c:v>752000</c:v>
                </c:pt>
                <c:pt idx="15">
                  <c:v>752000</c:v>
                </c:pt>
                <c:pt idx="18">
                  <c:v>752000</c:v>
                </c:pt>
                <c:pt idx="20">
                  <c:v>752000</c:v>
                </c:pt>
                <c:pt idx="23">
                  <c:v>752000</c:v>
                </c:pt>
                <c:pt idx="28">
                  <c:v>752000</c:v>
                </c:pt>
                <c:pt idx="31">
                  <c:v>752000</c:v>
                </c:pt>
                <c:pt idx="34">
                  <c:v>752000</c:v>
                </c:pt>
                <c:pt idx="36">
                  <c:v>752000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DE1-44BB-BA7C-C04C9B2D0859}"/>
            </c:ext>
          </c:extLst>
        </c:ser>
        <c:ser>
          <c:idx val="8"/>
          <c:order val="8"/>
          <c:tx>
            <c:strRef>
              <c:f>견적서!$K$30:$K$31</c:f>
              <c:strCache>
                <c:ptCount val="2"/>
                <c:pt idx="0">
                  <c:v>(VAT 별도)</c:v>
                </c:pt>
                <c:pt idx="1">
                  <c:v>공급가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견적서!$B$32:$B$72</c:f>
              <c:strCache>
                <c:ptCount val="41"/>
                <c:pt idx="0">
                  <c:v>분석
설계</c:v>
                </c:pt>
                <c:pt idx="5">
                  <c:v>구축</c:v>
                </c:pt>
                <c:pt idx="35">
                  <c:v>안정화</c:v>
                </c:pt>
                <c:pt idx="40">
                  <c:v>구축비용</c:v>
                </c:pt>
              </c:strCache>
            </c:strRef>
          </c:cat>
          <c:val>
            <c:numRef>
              <c:f>견적서!$K$32:$K$72</c:f>
              <c:numCache>
                <c:formatCode>_-* #,##0_-;\-* #,##0_-;_-* "-"?_-;_-@_-</c:formatCode>
                <c:ptCount val="41"/>
                <c:pt idx="0" formatCode="_(* #,##0_);_(* \(#,##0\);_(* &quot;-&quot;_);_(@_)">
                  <c:v>7520000</c:v>
                </c:pt>
                <c:pt idx="1">
                  <c:v>7520000</c:v>
                </c:pt>
                <c:pt idx="5" formatCode="_(* #,##0_);_(* \(#,##0\);_(* &quot;-&quot;_);_(@_)">
                  <c:v>30080000</c:v>
                </c:pt>
                <c:pt idx="6">
                  <c:v>4512000</c:v>
                </c:pt>
                <c:pt idx="13">
                  <c:v>3760000</c:v>
                </c:pt>
                <c:pt idx="15">
                  <c:v>5264000</c:v>
                </c:pt>
                <c:pt idx="18">
                  <c:v>3760000</c:v>
                </c:pt>
                <c:pt idx="20">
                  <c:v>7520000</c:v>
                </c:pt>
                <c:pt idx="23">
                  <c:v>5264000</c:v>
                </c:pt>
                <c:pt idx="27" formatCode="_(* #,##0_);_(* \(#,##0\);_(* &quot;-&quot;_);_(@_)">
                  <c:v>8272000</c:v>
                </c:pt>
                <c:pt idx="28">
                  <c:v>3008000</c:v>
                </c:pt>
                <c:pt idx="31">
                  <c:v>3760000</c:v>
                </c:pt>
                <c:pt idx="34">
                  <c:v>1504000</c:v>
                </c:pt>
                <c:pt idx="35" formatCode="_(* #,##0_);_(* \(#,##0\);_(* &quot;-&quot;_);_(@_)">
                  <c:v>3760000</c:v>
                </c:pt>
                <c:pt idx="36" formatCode="_(* #,##0_);_(* \(#,##0\);_(* &quot;-&quot;_);_(@_)">
                  <c:v>3760000</c:v>
                </c:pt>
                <c:pt idx="40" formatCode="_(* #,##0_);_(* \(#,##0\);_(* &quot;-&quot;_);_(@_)">
                  <c:v>49632000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E1-44BB-BA7C-C04C9B2D0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504751"/>
        <c:axId val="392505231"/>
      </c:barChart>
      <c:catAx>
        <c:axId val="39250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2505231"/>
        <c:crosses val="autoZero"/>
        <c:auto val="1"/>
        <c:lblAlgn val="ctr"/>
        <c:lblOffset val="100"/>
        <c:noMultiLvlLbl val="0"/>
      </c:catAx>
      <c:valAx>
        <c:axId val="39250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250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342113-24AD-4465-B769-9007BA17498E}">
  <sheetPr/>
  <sheetViews>
    <sheetView zoomScale="12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2500" cy="6105000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4450058-75F4-71D0-A943-1CAAFE8575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365619</xdr:colOff>
      <xdr:row>6</xdr:row>
      <xdr:rowOff>63012</xdr:rowOff>
    </xdr:from>
    <xdr:ext cx="1604011" cy="318205"/>
    <xdr:pic>
      <xdr:nvPicPr>
        <xdr:cNvPr id="3" name="그림 2">
          <a:extLst>
            <a:ext uri="{FF2B5EF4-FFF2-40B4-BE49-F238E27FC236}">
              <a16:creationId xmlns:a16="http://schemas.microsoft.com/office/drawing/2014/main" id="{13A5A65C-81DD-403C-A83D-09854A003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81" y="63012"/>
          <a:ext cx="1663651" cy="318205"/>
        </a:xfrm>
        <a:prstGeom prst="rect">
          <a:avLst/>
        </a:prstGeom>
      </xdr:spPr>
    </xdr:pic>
    <xdr:clientData/>
  </xdr:oneCellAnchor>
  <xdr:oneCellAnchor>
    <xdr:from>
      <xdr:col>10</xdr:col>
      <xdr:colOff>571500</xdr:colOff>
      <xdr:row>8</xdr:row>
      <xdr:rowOff>38100</xdr:rowOff>
    </xdr:from>
    <xdr:ext cx="545831" cy="565758"/>
    <xdr:pic>
      <xdr:nvPicPr>
        <xdr:cNvPr id="4" name="그림 3">
          <a:extLst>
            <a:ext uri="{FF2B5EF4-FFF2-40B4-BE49-F238E27FC236}">
              <a16:creationId xmlns:a16="http://schemas.microsoft.com/office/drawing/2014/main" id="{E3857C50-F393-449B-9A7A-E5A038854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685800"/>
          <a:ext cx="545831" cy="557699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733E-67D1-48DE-A336-DE68FF42F8D9}">
  <sheetPr>
    <pageSetUpPr fitToPage="1"/>
  </sheetPr>
  <dimension ref="B2:U82"/>
  <sheetViews>
    <sheetView showGridLines="0" tabSelected="1" view="pageBreakPreview" topLeftCell="A22" zoomScaleNormal="100" zoomScaleSheetLayoutView="100" zoomScalePageLayoutView="115" workbookViewId="0">
      <selection activeCell="K38" sqref="K38:K44"/>
    </sheetView>
  </sheetViews>
  <sheetFormatPr defaultColWidth="9" defaultRowHeight="13.5" x14ac:dyDescent="0.25"/>
  <cols>
    <col min="2" max="2" width="9.42578125" customWidth="1"/>
    <col min="3" max="3" width="0.85546875" customWidth="1"/>
    <col min="4" max="4" width="15.7109375" customWidth="1"/>
    <col min="5" max="5" width="1.140625" customWidth="1"/>
    <col min="6" max="6" width="28.140625" customWidth="1"/>
    <col min="7" max="7" width="13.28515625" customWidth="1"/>
    <col min="8" max="8" width="7.42578125" customWidth="1"/>
    <col min="9" max="9" width="8.140625" style="19" customWidth="1"/>
    <col min="10" max="10" width="14.140625" customWidth="1"/>
    <col min="11" max="11" width="19.140625" customWidth="1"/>
    <col min="12" max="12" width="9.5703125" bestFit="1" customWidth="1"/>
    <col min="13" max="13" width="9.140625" bestFit="1" customWidth="1"/>
    <col min="14" max="14" width="7.28515625" bestFit="1" customWidth="1"/>
    <col min="15" max="15" width="5.5703125" bestFit="1" customWidth="1"/>
    <col min="16" max="16" width="12.28515625" bestFit="1" customWidth="1"/>
    <col min="18" max="18" width="19.140625" bestFit="1" customWidth="1"/>
  </cols>
  <sheetData>
    <row r="2" spans="2:21" x14ac:dyDescent="0.25">
      <c r="M2" s="105" t="s">
        <v>28</v>
      </c>
      <c r="N2" s="105"/>
      <c r="O2" s="25" t="s">
        <v>29</v>
      </c>
      <c r="P2" s="25" t="s">
        <v>30</v>
      </c>
      <c r="R2" s="57" t="s">
        <v>56</v>
      </c>
      <c r="S2" s="4"/>
      <c r="T2" s="4"/>
      <c r="U2" s="4"/>
    </row>
    <row r="3" spans="2:21" x14ac:dyDescent="0.25">
      <c r="M3" s="104" t="s">
        <v>27</v>
      </c>
      <c r="N3" s="25" t="s">
        <v>20</v>
      </c>
      <c r="O3" s="66">
        <v>0.5</v>
      </c>
      <c r="P3" s="55">
        <f>$K$22*O3</f>
        <v>21500000</v>
      </c>
      <c r="R3" t="s">
        <v>57</v>
      </c>
    </row>
    <row r="4" spans="2:21" x14ac:dyDescent="0.25">
      <c r="M4" s="104"/>
      <c r="N4" s="25" t="s">
        <v>21</v>
      </c>
      <c r="O4" s="66">
        <v>0</v>
      </c>
      <c r="P4" s="55">
        <f t="shared" ref="P4:P5" si="0">$K$22*O4</f>
        <v>0</v>
      </c>
      <c r="R4" t="s">
        <v>58</v>
      </c>
    </row>
    <row r="5" spans="2:21" x14ac:dyDescent="0.25">
      <c r="M5" s="104"/>
      <c r="N5" s="25" t="s">
        <v>22</v>
      </c>
      <c r="O5" s="67">
        <v>0.5</v>
      </c>
      <c r="P5" s="55">
        <f t="shared" si="0"/>
        <v>21500000</v>
      </c>
      <c r="R5" t="s">
        <v>59</v>
      </c>
    </row>
    <row r="6" spans="2:21" x14ac:dyDescent="0.25">
      <c r="M6" s="120"/>
      <c r="N6" s="120"/>
      <c r="O6" s="120"/>
      <c r="P6" s="120"/>
    </row>
    <row r="7" spans="2:21" ht="37.5" x14ac:dyDescent="0.65">
      <c r="B7" s="113" t="s">
        <v>0</v>
      </c>
      <c r="C7" s="113"/>
      <c r="D7" s="113"/>
      <c r="E7" s="113"/>
      <c r="F7" s="113"/>
      <c r="G7" s="113"/>
      <c r="H7" s="113"/>
      <c r="I7" s="113"/>
      <c r="J7" s="113"/>
      <c r="K7" s="113"/>
    </row>
    <row r="8" spans="2:21" x14ac:dyDescent="0.25">
      <c r="B8" s="2"/>
      <c r="C8" s="2"/>
      <c r="D8" s="15"/>
      <c r="E8" s="15"/>
      <c r="F8" s="15"/>
      <c r="G8" s="2"/>
      <c r="H8" s="2"/>
      <c r="I8" s="12"/>
      <c r="J8" s="2"/>
      <c r="K8" s="2"/>
    </row>
    <row r="9" spans="2:21" x14ac:dyDescent="0.25">
      <c r="B9" s="2"/>
      <c r="C9" s="2"/>
      <c r="D9" s="15"/>
      <c r="E9" s="15"/>
      <c r="F9" s="15"/>
      <c r="G9" s="2"/>
      <c r="H9" s="2"/>
      <c r="I9" s="12"/>
      <c r="J9" s="2"/>
      <c r="K9" s="2"/>
    </row>
    <row r="10" spans="2:21" ht="20.100000000000001" customHeight="1" x14ac:dyDescent="0.25">
      <c r="B10" s="32" t="s">
        <v>54</v>
      </c>
      <c r="C10" s="33"/>
      <c r="D10" s="108" t="s">
        <v>66</v>
      </c>
      <c r="E10" s="108"/>
      <c r="F10" s="108"/>
      <c r="G10" s="4"/>
      <c r="H10" s="36" t="s">
        <v>11</v>
      </c>
      <c r="I10" s="114" t="s">
        <v>10</v>
      </c>
      <c r="J10" s="115"/>
      <c r="K10" s="115"/>
    </row>
    <row r="11" spans="2:21" ht="20.100000000000001" customHeight="1" x14ac:dyDescent="0.25">
      <c r="B11" s="34" t="s">
        <v>53</v>
      </c>
      <c r="C11" s="35"/>
      <c r="D11" s="109" t="s">
        <v>71</v>
      </c>
      <c r="E11" s="109"/>
      <c r="F11" s="109"/>
      <c r="G11" s="1"/>
      <c r="H11" s="116" t="s">
        <v>52</v>
      </c>
      <c r="I11" s="117" t="s">
        <v>15</v>
      </c>
      <c r="J11" s="117"/>
      <c r="K11" s="117"/>
    </row>
    <row r="12" spans="2:21" ht="20.100000000000001" customHeight="1" x14ac:dyDescent="0.25">
      <c r="B12" s="31" t="s">
        <v>9</v>
      </c>
      <c r="C12" s="30"/>
      <c r="D12" s="110">
        <v>45660</v>
      </c>
      <c r="E12" s="110"/>
      <c r="F12" s="110"/>
      <c r="G12" s="5"/>
      <c r="H12" s="116"/>
      <c r="I12" s="117"/>
      <c r="J12" s="117"/>
      <c r="K12" s="117"/>
    </row>
    <row r="13" spans="2:21" ht="17.25" customHeight="1" x14ac:dyDescent="0.25">
      <c r="B13" s="6"/>
      <c r="C13" s="6"/>
      <c r="D13" s="16"/>
      <c r="E13" s="16"/>
      <c r="F13" s="16"/>
      <c r="G13" s="5"/>
      <c r="H13" s="6"/>
      <c r="I13" s="13"/>
      <c r="J13" s="7"/>
      <c r="K13" s="7"/>
    </row>
    <row r="14" spans="2:21" x14ac:dyDescent="0.25">
      <c r="B14" s="10" t="s">
        <v>14</v>
      </c>
      <c r="C14" s="10"/>
      <c r="D14" s="15"/>
      <c r="E14" s="15"/>
      <c r="F14" s="15"/>
      <c r="G14" s="2"/>
      <c r="H14" s="2"/>
      <c r="I14" s="12"/>
      <c r="J14" s="2"/>
      <c r="K14" s="2"/>
    </row>
    <row r="15" spans="2:21" ht="30" customHeight="1" x14ac:dyDescent="0.25">
      <c r="B15" s="118" t="str">
        <f>" 제안금액: "&amp;TEXT(SUM(K22), "#,##0")&amp;"원"</f>
        <v xml:space="preserve"> 제안금액: 43,000,000원</v>
      </c>
      <c r="C15" s="118"/>
      <c r="D15" s="118"/>
      <c r="E15" s="118"/>
      <c r="F15" s="118"/>
      <c r="G15" s="118"/>
      <c r="H15" s="118"/>
      <c r="I15" s="118"/>
      <c r="J15" s="119" t="s">
        <v>7</v>
      </c>
      <c r="K15" s="119"/>
    </row>
    <row r="16" spans="2:21" ht="20.100000000000001" customHeight="1" x14ac:dyDescent="0.25">
      <c r="B16" s="37" t="s">
        <v>1</v>
      </c>
      <c r="C16" s="121" t="s">
        <v>2</v>
      </c>
      <c r="D16" s="121"/>
      <c r="E16" s="121"/>
      <c r="F16" s="121"/>
      <c r="G16" s="121"/>
      <c r="H16" s="121"/>
      <c r="I16" s="121"/>
      <c r="J16" s="122"/>
      <c r="K16" s="27" t="s">
        <v>6</v>
      </c>
    </row>
    <row r="17" spans="2:14" ht="20.100000000000001" customHeight="1" x14ac:dyDescent="0.25">
      <c r="B17" s="145" t="s">
        <v>17</v>
      </c>
      <c r="C17" s="41"/>
      <c r="D17" s="106" t="s">
        <v>72</v>
      </c>
      <c r="E17" s="106"/>
      <c r="F17" s="106"/>
      <c r="G17" s="106"/>
      <c r="H17" s="106"/>
      <c r="I17" s="106"/>
      <c r="J17" s="107"/>
      <c r="K17" s="42">
        <f>$K$72</f>
        <v>49632000</v>
      </c>
    </row>
    <row r="18" spans="2:14" s="3" customFormat="1" ht="20.100000000000001" customHeight="1" x14ac:dyDescent="0.2">
      <c r="B18" s="145"/>
      <c r="C18" s="56"/>
      <c r="D18" s="111" t="s">
        <v>73</v>
      </c>
      <c r="E18" s="111"/>
      <c r="F18" s="111"/>
      <c r="G18" s="111"/>
      <c r="H18" s="111"/>
      <c r="I18" s="111"/>
      <c r="J18" s="112"/>
      <c r="K18" s="28"/>
    </row>
    <row r="19" spans="2:14" s="3" customFormat="1" ht="20.100000000000001" customHeight="1" x14ac:dyDescent="0.2">
      <c r="B19" s="145"/>
      <c r="C19" s="56"/>
      <c r="D19" s="111" t="s">
        <v>60</v>
      </c>
      <c r="E19" s="111"/>
      <c r="F19" s="111"/>
      <c r="G19" s="111"/>
      <c r="H19" s="111"/>
      <c r="I19" s="111"/>
      <c r="J19" s="112"/>
      <c r="K19" s="28"/>
    </row>
    <row r="20" spans="2:14" s="3" customFormat="1" ht="20.100000000000001" customHeight="1" x14ac:dyDescent="0.2">
      <c r="B20" s="145"/>
      <c r="C20" s="56"/>
      <c r="D20" s="111"/>
      <c r="E20" s="111"/>
      <c r="F20" s="111"/>
      <c r="G20" s="111"/>
      <c r="H20" s="111"/>
      <c r="I20" s="111"/>
      <c r="J20" s="112"/>
      <c r="K20" s="28"/>
    </row>
    <row r="21" spans="2:14" ht="20.100000000000001" customHeight="1" x14ac:dyDescent="0.25">
      <c r="B21" s="146"/>
      <c r="C21" s="43"/>
      <c r="D21" s="84" t="str">
        <f>"할인금액 ("&amp;ROUND(K21*100/K17, 1)&amp;"%)"</f>
        <v>할인금액 (13.4%)</v>
      </c>
      <c r="E21" s="84"/>
      <c r="F21" s="84"/>
      <c r="G21" s="84"/>
      <c r="H21" s="84"/>
      <c r="I21" s="84"/>
      <c r="J21" s="85"/>
      <c r="K21" s="44">
        <f>K17-K22</f>
        <v>6632000</v>
      </c>
    </row>
    <row r="22" spans="2:14" ht="30" customHeight="1" x14ac:dyDescent="0.25">
      <c r="B22" s="142" t="s">
        <v>46</v>
      </c>
      <c r="C22" s="142"/>
      <c r="D22" s="142"/>
      <c r="E22" s="142"/>
      <c r="F22" s="142"/>
      <c r="G22" s="142"/>
      <c r="H22" s="142"/>
      <c r="I22" s="142"/>
      <c r="J22" s="142"/>
      <c r="K22" s="38">
        <v>43000000</v>
      </c>
    </row>
    <row r="23" spans="2:14" s="3" customFormat="1" ht="15" customHeight="1" x14ac:dyDescent="0.2">
      <c r="B23" s="141" t="s">
        <v>8</v>
      </c>
      <c r="C23" s="141"/>
      <c r="D23" s="141"/>
      <c r="E23" s="141"/>
      <c r="F23" s="141"/>
      <c r="G23" s="141"/>
      <c r="H23" s="141"/>
      <c r="I23" s="141"/>
      <c r="J23" s="141"/>
      <c r="K23" s="141"/>
    </row>
    <row r="24" spans="2:14" s="8" customFormat="1" ht="15" customHeight="1" x14ac:dyDescent="0.25">
      <c r="B24" s="8" t="s">
        <v>18</v>
      </c>
      <c r="D24" s="26"/>
      <c r="E24" s="26"/>
      <c r="F24" s="26"/>
      <c r="I24" s="39"/>
    </row>
    <row r="25" spans="2:14" s="8" customFormat="1" ht="15" customHeight="1" x14ac:dyDescent="0.25">
      <c r="B25" s="8" t="s">
        <v>19</v>
      </c>
      <c r="D25" s="26"/>
      <c r="E25" s="26"/>
      <c r="F25" s="26"/>
      <c r="I25" s="39"/>
    </row>
    <row r="26" spans="2:14" s="8" customFormat="1" ht="15" customHeight="1" x14ac:dyDescent="0.25">
      <c r="B26" s="49" t="s">
        <v>98</v>
      </c>
      <c r="D26" s="26"/>
      <c r="E26" s="26"/>
      <c r="F26" s="26"/>
      <c r="I26" s="39"/>
    </row>
    <row r="27" spans="2:14" s="8" customFormat="1" ht="15" customHeight="1" x14ac:dyDescent="0.25">
      <c r="B27" s="8" t="str">
        <f>CONCATENATE(" - 결제조건 : ",N3," : ",O3*100,"%",IF(O4&lt;&gt;0,", "&amp;N4&amp;" : "&amp;(O4*100)&amp;"%",""),IF(O5&lt;&gt;0,", "&amp;N5&amp;" : "&amp;(O5*100)&amp;"%",""))</f>
        <v xml:space="preserve"> - 결제조건 : 착수금 : 50%, 잔금 : 50%</v>
      </c>
      <c r="D27" s="26"/>
      <c r="E27" s="26"/>
      <c r="F27" s="26"/>
      <c r="I27" s="39"/>
    </row>
    <row r="28" spans="2:14" s="8" customFormat="1" ht="15" customHeight="1" x14ac:dyDescent="0.25">
      <c r="B28" s="9" t="s">
        <v>62</v>
      </c>
      <c r="C28" s="9"/>
      <c r="D28" s="17"/>
      <c r="E28" s="17"/>
      <c r="F28" s="17"/>
      <c r="G28" s="9"/>
      <c r="H28" s="9"/>
      <c r="I28" s="14"/>
      <c r="J28" s="9"/>
      <c r="K28" s="9"/>
    </row>
    <row r="29" spans="2:14" ht="16.5" customHeight="1" x14ac:dyDescent="0.25">
      <c r="B29" s="2"/>
      <c r="C29" s="2"/>
      <c r="D29" s="15"/>
      <c r="E29" s="15"/>
      <c r="F29" s="15"/>
      <c r="G29" s="2"/>
      <c r="H29" s="2"/>
      <c r="I29" s="12"/>
      <c r="J29" s="2"/>
      <c r="K29" s="2"/>
    </row>
    <row r="30" spans="2:14" x14ac:dyDescent="0.25">
      <c r="B30" s="10" t="s">
        <v>38</v>
      </c>
      <c r="C30" s="10"/>
      <c r="D30" s="15"/>
      <c r="E30" s="15"/>
      <c r="F30" s="15"/>
      <c r="G30" s="2"/>
      <c r="H30" s="2"/>
      <c r="I30" s="12"/>
      <c r="J30" s="2"/>
      <c r="K30" s="11" t="s">
        <v>16</v>
      </c>
    </row>
    <row r="31" spans="2:14" ht="20.100000000000001" customHeight="1" x14ac:dyDescent="0.25">
      <c r="B31" s="37" t="s">
        <v>1</v>
      </c>
      <c r="C31" s="144" t="s">
        <v>2</v>
      </c>
      <c r="D31" s="121"/>
      <c r="E31" s="121"/>
      <c r="F31" s="121"/>
      <c r="G31" s="122"/>
      <c r="H31" s="29" t="s">
        <v>3</v>
      </c>
      <c r="I31" s="29" t="s">
        <v>4</v>
      </c>
      <c r="J31" s="29" t="s">
        <v>5</v>
      </c>
      <c r="K31" s="27" t="s">
        <v>6</v>
      </c>
    </row>
    <row r="32" spans="2:14" ht="20.100000000000001" customHeight="1" x14ac:dyDescent="0.25">
      <c r="B32" s="145" t="s">
        <v>34</v>
      </c>
      <c r="C32" s="40"/>
      <c r="D32" s="84" t="s">
        <v>35</v>
      </c>
      <c r="E32" s="84"/>
      <c r="F32" s="84"/>
      <c r="G32" s="85"/>
      <c r="H32" s="63"/>
      <c r="I32" s="46"/>
      <c r="J32" s="64"/>
      <c r="K32" s="44">
        <f>SUM(K33)</f>
        <v>7520000</v>
      </c>
      <c r="M32" s="65">
        <f>SUM(I33:I71)</f>
        <v>66</v>
      </c>
      <c r="N32">
        <f>M32/20.8</f>
        <v>3.1730769230769229</v>
      </c>
    </row>
    <row r="33" spans="2:11" s="3" customFormat="1" ht="20.100000000000001" customHeight="1" x14ac:dyDescent="0.2">
      <c r="B33" s="145"/>
      <c r="C33" s="18"/>
      <c r="D33" s="123" t="s">
        <v>32</v>
      </c>
      <c r="E33" s="123"/>
      <c r="F33" s="123"/>
      <c r="G33" s="124"/>
      <c r="H33" s="94" t="s">
        <v>65</v>
      </c>
      <c r="I33" s="89">
        <v>10</v>
      </c>
      <c r="J33" s="93">
        <f>IF(H33="M/M",$K$81,$L$81)</f>
        <v>752000</v>
      </c>
      <c r="K33" s="143">
        <f>I33*J33</f>
        <v>7520000</v>
      </c>
    </row>
    <row r="34" spans="2:11" s="3" customFormat="1" ht="20.100000000000001" customHeight="1" x14ac:dyDescent="0.2">
      <c r="B34" s="145"/>
      <c r="C34" s="18"/>
      <c r="D34" s="123" t="s">
        <v>33</v>
      </c>
      <c r="E34" s="123"/>
      <c r="F34" s="123"/>
      <c r="G34" s="124"/>
      <c r="H34" s="95"/>
      <c r="I34" s="89"/>
      <c r="J34" s="93"/>
      <c r="K34" s="143"/>
    </row>
    <row r="35" spans="2:11" s="3" customFormat="1" ht="20.100000000000001" customHeight="1" x14ac:dyDescent="0.2">
      <c r="B35" s="145"/>
      <c r="C35" s="18"/>
      <c r="D35" s="123" t="s">
        <v>75</v>
      </c>
      <c r="E35" s="123"/>
      <c r="F35" s="123"/>
      <c r="G35" s="124"/>
      <c r="H35" s="95"/>
      <c r="I35" s="89"/>
      <c r="J35" s="93"/>
      <c r="K35" s="143"/>
    </row>
    <row r="36" spans="2:11" s="3" customFormat="1" ht="20.100000000000001" customHeight="1" x14ac:dyDescent="0.2">
      <c r="B36" s="145"/>
      <c r="C36" s="18"/>
      <c r="D36" s="125" t="s">
        <v>74</v>
      </c>
      <c r="E36" s="125"/>
      <c r="F36" s="125"/>
      <c r="G36" s="126"/>
      <c r="H36" s="95"/>
      <c r="I36" s="89"/>
      <c r="J36" s="93"/>
      <c r="K36" s="143"/>
    </row>
    <row r="37" spans="2:11" ht="20.100000000000001" customHeight="1" x14ac:dyDescent="0.25">
      <c r="B37" s="78" t="s">
        <v>12</v>
      </c>
      <c r="C37" s="45"/>
      <c r="D37" s="84" t="s">
        <v>73</v>
      </c>
      <c r="E37" s="84"/>
      <c r="F37" s="84"/>
      <c r="G37" s="85"/>
      <c r="H37" s="63"/>
      <c r="I37" s="46"/>
      <c r="J37" s="64"/>
      <c r="K37" s="68">
        <f>SUM(K38:K58)</f>
        <v>30080000</v>
      </c>
    </row>
    <row r="38" spans="2:11" s="3" customFormat="1" ht="20.100000000000001" customHeight="1" x14ac:dyDescent="0.2">
      <c r="B38" s="79"/>
      <c r="C38" s="20"/>
      <c r="D38" s="24" t="s">
        <v>76</v>
      </c>
      <c r="E38" s="59"/>
      <c r="F38" s="58" t="s">
        <v>70</v>
      </c>
      <c r="G38" s="23"/>
      <c r="H38" s="94" t="s">
        <v>65</v>
      </c>
      <c r="I38" s="88">
        <v>6</v>
      </c>
      <c r="J38" s="92">
        <f>IF(H38="M/M",$K$81,$L$81)</f>
        <v>752000</v>
      </c>
      <c r="K38" s="136">
        <f>I38*J38</f>
        <v>4512000</v>
      </c>
    </row>
    <row r="39" spans="2:11" s="3" customFormat="1" ht="20.100000000000001" customHeight="1" x14ac:dyDescent="0.2">
      <c r="B39" s="79"/>
      <c r="C39" s="18"/>
      <c r="D39" s="61"/>
      <c r="E39" s="62"/>
      <c r="F39" s="86" t="s">
        <v>77</v>
      </c>
      <c r="G39" s="87"/>
      <c r="H39" s="95"/>
      <c r="I39" s="89"/>
      <c r="J39" s="93"/>
      <c r="K39" s="137"/>
    </row>
    <row r="40" spans="2:11" s="3" customFormat="1" ht="20.100000000000001" customHeight="1" x14ac:dyDescent="0.2">
      <c r="B40" s="79"/>
      <c r="C40" s="18"/>
      <c r="D40" s="61"/>
      <c r="E40" s="62"/>
      <c r="F40" s="86" t="s">
        <v>78</v>
      </c>
      <c r="G40" s="87"/>
      <c r="H40" s="95"/>
      <c r="I40" s="89"/>
      <c r="J40" s="93"/>
      <c r="K40" s="137"/>
    </row>
    <row r="41" spans="2:11" s="3" customFormat="1" ht="20.100000000000001" customHeight="1" x14ac:dyDescent="0.2">
      <c r="B41" s="79"/>
      <c r="C41" s="18"/>
      <c r="D41" s="61"/>
      <c r="E41" s="62"/>
      <c r="F41" s="86" t="s">
        <v>79</v>
      </c>
      <c r="G41" s="87"/>
      <c r="H41" s="95"/>
      <c r="I41" s="89"/>
      <c r="J41" s="93"/>
      <c r="K41" s="137"/>
    </row>
    <row r="42" spans="2:11" s="3" customFormat="1" ht="20.100000000000001" customHeight="1" x14ac:dyDescent="0.2">
      <c r="B42" s="79"/>
      <c r="C42" s="18"/>
      <c r="D42" s="61"/>
      <c r="E42" s="62"/>
      <c r="F42" s="86" t="s">
        <v>80</v>
      </c>
      <c r="G42" s="87"/>
      <c r="H42" s="95"/>
      <c r="I42" s="89"/>
      <c r="J42" s="93"/>
      <c r="K42" s="137"/>
    </row>
    <row r="43" spans="2:11" s="3" customFormat="1" ht="20.100000000000001" customHeight="1" x14ac:dyDescent="0.2">
      <c r="B43" s="79"/>
      <c r="C43" s="18"/>
      <c r="D43" s="61"/>
      <c r="E43" s="62"/>
      <c r="F43" s="86" t="s">
        <v>81</v>
      </c>
      <c r="G43" s="87"/>
      <c r="H43" s="95"/>
      <c r="I43" s="89"/>
      <c r="J43" s="93"/>
      <c r="K43" s="137"/>
    </row>
    <row r="44" spans="2:11" s="3" customFormat="1" ht="20.100000000000001" customHeight="1" x14ac:dyDescent="0.2">
      <c r="B44" s="79"/>
      <c r="C44" s="18"/>
      <c r="D44" s="61"/>
      <c r="E44" s="62"/>
      <c r="F44" s="86" t="s">
        <v>82</v>
      </c>
      <c r="G44" s="87"/>
      <c r="H44" s="95"/>
      <c r="I44" s="89"/>
      <c r="J44" s="93"/>
      <c r="K44" s="137"/>
    </row>
    <row r="45" spans="2:11" s="3" customFormat="1" ht="20.100000000000001" customHeight="1" x14ac:dyDescent="0.2">
      <c r="B45" s="79"/>
      <c r="C45" s="20"/>
      <c r="D45" s="24" t="s">
        <v>67</v>
      </c>
      <c r="E45" s="59"/>
      <c r="F45" s="90" t="s">
        <v>83</v>
      </c>
      <c r="G45" s="91"/>
      <c r="H45" s="94" t="s">
        <v>65</v>
      </c>
      <c r="I45" s="88">
        <v>5</v>
      </c>
      <c r="J45" s="92">
        <f>IF(H45="M/M",$K$81,$L$81)</f>
        <v>752000</v>
      </c>
      <c r="K45" s="136">
        <f>I45*J45</f>
        <v>3760000</v>
      </c>
    </row>
    <row r="46" spans="2:11" s="3" customFormat="1" ht="20.100000000000001" customHeight="1" x14ac:dyDescent="0.2">
      <c r="B46" s="79"/>
      <c r="C46" s="18"/>
      <c r="D46" s="61"/>
      <c r="E46" s="62"/>
      <c r="F46" s="86" t="s">
        <v>84</v>
      </c>
      <c r="G46" s="87"/>
      <c r="H46" s="95"/>
      <c r="I46" s="89"/>
      <c r="J46" s="93"/>
      <c r="K46" s="137"/>
    </row>
    <row r="47" spans="2:11" s="3" customFormat="1" ht="20.100000000000001" customHeight="1" x14ac:dyDescent="0.2">
      <c r="B47" s="79"/>
      <c r="C47" s="20"/>
      <c r="D47" s="24" t="s">
        <v>64</v>
      </c>
      <c r="E47" s="59"/>
      <c r="F47" s="90" t="s">
        <v>85</v>
      </c>
      <c r="G47" s="91"/>
      <c r="H47" s="94" t="s">
        <v>65</v>
      </c>
      <c r="I47" s="88">
        <v>7</v>
      </c>
      <c r="J47" s="92">
        <f>IF(H47="M/M",$K$81,$L$81)</f>
        <v>752000</v>
      </c>
      <c r="K47" s="136">
        <f>I47*J47</f>
        <v>5264000</v>
      </c>
    </row>
    <row r="48" spans="2:11" s="3" customFormat="1" ht="20.100000000000001" customHeight="1" x14ac:dyDescent="0.2">
      <c r="B48" s="79"/>
      <c r="C48" s="18"/>
      <c r="D48" s="61"/>
      <c r="E48" s="62"/>
      <c r="F48" s="86" t="s">
        <v>86</v>
      </c>
      <c r="G48" s="87"/>
      <c r="H48" s="95"/>
      <c r="I48" s="89"/>
      <c r="J48" s="93"/>
      <c r="K48" s="137"/>
    </row>
    <row r="49" spans="2:11" s="3" customFormat="1" ht="20.100000000000001" customHeight="1" x14ac:dyDescent="0.2">
      <c r="B49" s="79"/>
      <c r="C49" s="18"/>
      <c r="D49" s="61"/>
      <c r="E49" s="62"/>
      <c r="F49" s="86" t="s">
        <v>87</v>
      </c>
      <c r="G49" s="87"/>
      <c r="H49" s="95"/>
      <c r="I49" s="89"/>
      <c r="J49" s="93"/>
      <c r="K49" s="137"/>
    </row>
    <row r="50" spans="2:11" s="3" customFormat="1" ht="20.100000000000001" customHeight="1" x14ac:dyDescent="0.2">
      <c r="B50" s="79"/>
      <c r="C50" s="20"/>
      <c r="D50" s="24" t="s">
        <v>63</v>
      </c>
      <c r="E50" s="59"/>
      <c r="F50" s="58" t="s">
        <v>88</v>
      </c>
      <c r="G50" s="23"/>
      <c r="H50" s="94" t="s">
        <v>65</v>
      </c>
      <c r="I50" s="88">
        <v>5</v>
      </c>
      <c r="J50" s="92">
        <f>IF(H50="M/M",$K$81,$L$81)</f>
        <v>752000</v>
      </c>
      <c r="K50" s="136">
        <f>I50*J50</f>
        <v>3760000</v>
      </c>
    </row>
    <row r="51" spans="2:11" s="3" customFormat="1" ht="20.100000000000001" customHeight="1" x14ac:dyDescent="0.2">
      <c r="B51" s="79"/>
      <c r="C51" s="18"/>
      <c r="D51" s="61"/>
      <c r="E51" s="62"/>
      <c r="F51" s="86" t="s">
        <v>69</v>
      </c>
      <c r="G51" s="87"/>
      <c r="H51" s="95"/>
      <c r="I51" s="89"/>
      <c r="J51" s="93"/>
      <c r="K51" s="137"/>
    </row>
    <row r="52" spans="2:11" s="3" customFormat="1" ht="20.100000000000001" customHeight="1" x14ac:dyDescent="0.2">
      <c r="B52" s="79"/>
      <c r="C52" s="20"/>
      <c r="D52" s="24" t="s">
        <v>99</v>
      </c>
      <c r="E52" s="59"/>
      <c r="F52" s="58" t="s">
        <v>100</v>
      </c>
      <c r="G52" s="23"/>
      <c r="H52" s="94" t="s">
        <v>65</v>
      </c>
      <c r="I52" s="88">
        <v>10</v>
      </c>
      <c r="J52" s="92">
        <f>IF(H52="M/M",$K$81,$L$81)</f>
        <v>752000</v>
      </c>
      <c r="K52" s="136">
        <f>I52*J52</f>
        <v>7520000</v>
      </c>
    </row>
    <row r="53" spans="2:11" s="3" customFormat="1" ht="20.100000000000001" customHeight="1" x14ac:dyDescent="0.2">
      <c r="B53" s="79"/>
      <c r="C53" s="18"/>
      <c r="D53" s="61"/>
      <c r="E53" s="62"/>
      <c r="F53" s="86" t="s">
        <v>102</v>
      </c>
      <c r="G53" s="87"/>
      <c r="H53" s="95"/>
      <c r="I53" s="89"/>
      <c r="J53" s="93"/>
      <c r="K53" s="137"/>
    </row>
    <row r="54" spans="2:11" s="3" customFormat="1" ht="20.100000000000001" customHeight="1" x14ac:dyDescent="0.2">
      <c r="B54" s="79"/>
      <c r="C54" s="18"/>
      <c r="D54" s="61"/>
      <c r="E54" s="62"/>
      <c r="F54" s="86" t="s">
        <v>101</v>
      </c>
      <c r="G54" s="87"/>
      <c r="H54" s="95"/>
      <c r="I54" s="89"/>
      <c r="J54" s="93"/>
      <c r="K54" s="137"/>
    </row>
    <row r="55" spans="2:11" s="3" customFormat="1" ht="20.100000000000001" customHeight="1" x14ac:dyDescent="0.2">
      <c r="B55" s="79"/>
      <c r="C55" s="20"/>
      <c r="D55" s="24" t="s">
        <v>89</v>
      </c>
      <c r="E55" s="59"/>
      <c r="F55" s="90" t="s">
        <v>90</v>
      </c>
      <c r="G55" s="91"/>
      <c r="H55" s="94" t="s">
        <v>65</v>
      </c>
      <c r="I55" s="88">
        <v>7</v>
      </c>
      <c r="J55" s="92">
        <f>IF(H55="M/M",$K$81,$L$81)</f>
        <v>752000</v>
      </c>
      <c r="K55" s="136">
        <f>I55*J55</f>
        <v>5264000</v>
      </c>
    </row>
    <row r="56" spans="2:11" s="3" customFormat="1" ht="20.100000000000001" customHeight="1" x14ac:dyDescent="0.2">
      <c r="B56" s="79"/>
      <c r="C56" s="18"/>
      <c r="D56" s="61"/>
      <c r="E56" s="62"/>
      <c r="F56" s="86" t="s">
        <v>91</v>
      </c>
      <c r="G56" s="87"/>
      <c r="H56" s="95"/>
      <c r="I56" s="89"/>
      <c r="J56" s="93"/>
      <c r="K56" s="137"/>
    </row>
    <row r="57" spans="2:11" s="3" customFormat="1" ht="20.100000000000001" customHeight="1" x14ac:dyDescent="0.2">
      <c r="B57" s="79"/>
      <c r="C57" s="18"/>
      <c r="D57" s="61"/>
      <c r="E57" s="62"/>
      <c r="F57" s="86" t="s">
        <v>92</v>
      </c>
      <c r="G57" s="87"/>
      <c r="H57" s="95"/>
      <c r="I57" s="89"/>
      <c r="J57" s="93"/>
      <c r="K57" s="137"/>
    </row>
    <row r="58" spans="2:11" s="3" customFormat="1" ht="20.100000000000001" customHeight="1" x14ac:dyDescent="0.2">
      <c r="B58" s="79"/>
      <c r="C58" s="18"/>
      <c r="D58" s="61"/>
      <c r="E58" s="62"/>
      <c r="F58" s="86" t="s">
        <v>93</v>
      </c>
      <c r="G58" s="87"/>
      <c r="H58" s="95"/>
      <c r="I58" s="89"/>
      <c r="J58" s="93"/>
      <c r="K58" s="137"/>
    </row>
    <row r="59" spans="2:11" ht="20.100000000000001" customHeight="1" x14ac:dyDescent="0.25">
      <c r="B59" s="79"/>
      <c r="C59" s="45"/>
      <c r="D59" s="84" t="s">
        <v>60</v>
      </c>
      <c r="E59" s="84"/>
      <c r="F59" s="84"/>
      <c r="G59" s="85"/>
      <c r="H59" s="63"/>
      <c r="I59" s="46"/>
      <c r="J59" s="64"/>
      <c r="K59" s="68">
        <f>SUM(K60:K66)</f>
        <v>8272000</v>
      </c>
    </row>
    <row r="60" spans="2:11" s="3" customFormat="1" ht="20.100000000000001" customHeight="1" x14ac:dyDescent="0.2">
      <c r="B60" s="79"/>
      <c r="C60" s="20"/>
      <c r="D60" s="24" t="s">
        <v>67</v>
      </c>
      <c r="E60" s="59"/>
      <c r="F60" s="58" t="s">
        <v>68</v>
      </c>
      <c r="G60" s="23"/>
      <c r="H60" s="94" t="s">
        <v>65</v>
      </c>
      <c r="I60" s="88">
        <v>4</v>
      </c>
      <c r="J60" s="92">
        <f>IF(H60="M/M",$K$81,$L$81)</f>
        <v>752000</v>
      </c>
      <c r="K60" s="136">
        <f>I60*J60</f>
        <v>3008000</v>
      </c>
    </row>
    <row r="61" spans="2:11" s="3" customFormat="1" ht="20.100000000000001" customHeight="1" x14ac:dyDescent="0.2">
      <c r="B61" s="79"/>
      <c r="C61" s="18"/>
      <c r="D61" s="61"/>
      <c r="E61" s="62"/>
      <c r="F61" s="86" t="s">
        <v>97</v>
      </c>
      <c r="G61" s="87"/>
      <c r="H61" s="95"/>
      <c r="I61" s="89"/>
      <c r="J61" s="93"/>
      <c r="K61" s="137"/>
    </row>
    <row r="62" spans="2:11" s="3" customFormat="1" ht="20.100000000000001" customHeight="1" x14ac:dyDescent="0.2">
      <c r="B62" s="79"/>
      <c r="C62" s="18"/>
      <c r="D62" s="61"/>
      <c r="E62" s="62"/>
      <c r="F62" s="86" t="s">
        <v>84</v>
      </c>
      <c r="G62" s="87"/>
      <c r="H62" s="95"/>
      <c r="I62" s="89"/>
      <c r="J62" s="93"/>
      <c r="K62" s="137"/>
    </row>
    <row r="63" spans="2:11" s="3" customFormat="1" ht="20.100000000000001" customHeight="1" x14ac:dyDescent="0.2">
      <c r="B63" s="79"/>
      <c r="C63" s="20"/>
      <c r="D63" s="24" t="s">
        <v>64</v>
      </c>
      <c r="E63" s="59"/>
      <c r="F63" s="90" t="s">
        <v>85</v>
      </c>
      <c r="G63" s="91"/>
      <c r="H63" s="94" t="s">
        <v>65</v>
      </c>
      <c r="I63" s="88">
        <v>5</v>
      </c>
      <c r="J63" s="92">
        <f>IF(H63="M/M",$K$81,$L$81)</f>
        <v>752000</v>
      </c>
      <c r="K63" s="136">
        <f>I63*J63</f>
        <v>3760000</v>
      </c>
    </row>
    <row r="64" spans="2:11" s="3" customFormat="1" ht="20.100000000000001" customHeight="1" x14ac:dyDescent="0.2">
      <c r="B64" s="79"/>
      <c r="C64" s="18"/>
      <c r="D64" s="61"/>
      <c r="E64" s="62"/>
      <c r="F64" s="86" t="s">
        <v>94</v>
      </c>
      <c r="G64" s="87"/>
      <c r="H64" s="95"/>
      <c r="I64" s="89"/>
      <c r="J64" s="93"/>
      <c r="K64" s="137"/>
    </row>
    <row r="65" spans="2:11" s="3" customFormat="1" ht="20.100000000000001" customHeight="1" x14ac:dyDescent="0.2">
      <c r="B65" s="79"/>
      <c r="C65" s="18"/>
      <c r="D65" s="61"/>
      <c r="E65" s="62"/>
      <c r="F65" s="86" t="s">
        <v>95</v>
      </c>
      <c r="G65" s="87"/>
      <c r="H65" s="95"/>
      <c r="I65" s="89"/>
      <c r="J65" s="93"/>
      <c r="K65" s="137"/>
    </row>
    <row r="66" spans="2:11" s="3" customFormat="1" ht="20.100000000000001" customHeight="1" x14ac:dyDescent="0.2">
      <c r="B66" s="79"/>
      <c r="C66" s="20"/>
      <c r="D66" s="24" t="s">
        <v>63</v>
      </c>
      <c r="E66" s="59"/>
      <c r="F66" s="90" t="s">
        <v>96</v>
      </c>
      <c r="G66" s="91"/>
      <c r="H66" s="69" t="s">
        <v>65</v>
      </c>
      <c r="I66" s="70">
        <v>2</v>
      </c>
      <c r="J66" s="71">
        <f>IF(H66="M/M",$K$81,$L$81)</f>
        <v>752000</v>
      </c>
      <c r="K66" s="72">
        <f>I66*J66</f>
        <v>1504000</v>
      </c>
    </row>
    <row r="67" spans="2:11" ht="20.100000000000001" customHeight="1" x14ac:dyDescent="0.25">
      <c r="B67" s="78" t="s">
        <v>13</v>
      </c>
      <c r="C67" s="45"/>
      <c r="D67" s="84" t="s">
        <v>55</v>
      </c>
      <c r="E67" s="84"/>
      <c r="F67" s="84"/>
      <c r="G67" s="85"/>
      <c r="H67" s="63"/>
      <c r="I67" s="46"/>
      <c r="J67" s="64"/>
      <c r="K67" s="68">
        <f>SUM(K68)</f>
        <v>3760000</v>
      </c>
    </row>
    <row r="68" spans="2:11" ht="20.100000000000001" customHeight="1" x14ac:dyDescent="0.25">
      <c r="B68" s="79"/>
      <c r="C68" s="21"/>
      <c r="D68" s="76" t="s">
        <v>36</v>
      </c>
      <c r="E68" s="76"/>
      <c r="F68" s="76"/>
      <c r="G68" s="77"/>
      <c r="H68" s="138" t="s">
        <v>65</v>
      </c>
      <c r="I68" s="133">
        <v>5</v>
      </c>
      <c r="J68" s="127">
        <f>IF(H68="M/M",$K$81,$L$81)</f>
        <v>752000</v>
      </c>
      <c r="K68" s="130">
        <f>I68*J68</f>
        <v>3760000</v>
      </c>
    </row>
    <row r="69" spans="2:11" ht="20.100000000000001" customHeight="1" x14ac:dyDescent="0.25">
      <c r="B69" s="79"/>
      <c r="C69" s="21"/>
      <c r="D69" s="76" t="s">
        <v>37</v>
      </c>
      <c r="E69" s="76"/>
      <c r="F69" s="76"/>
      <c r="G69" s="77"/>
      <c r="H69" s="139"/>
      <c r="I69" s="134"/>
      <c r="J69" s="128"/>
      <c r="K69" s="131"/>
    </row>
    <row r="70" spans="2:11" ht="20.100000000000001" customHeight="1" x14ac:dyDescent="0.25">
      <c r="B70" s="79"/>
      <c r="C70" s="21"/>
      <c r="D70" s="76" t="s">
        <v>26</v>
      </c>
      <c r="E70" s="76"/>
      <c r="F70" s="76"/>
      <c r="G70" s="77"/>
      <c r="H70" s="139"/>
      <c r="I70" s="134"/>
      <c r="J70" s="128"/>
      <c r="K70" s="131"/>
    </row>
    <row r="71" spans="2:11" ht="20.100000000000001" customHeight="1" x14ac:dyDescent="0.25">
      <c r="B71" s="83"/>
      <c r="C71" s="47"/>
      <c r="D71" s="81" t="s">
        <v>61</v>
      </c>
      <c r="E71" s="81"/>
      <c r="F71" s="81"/>
      <c r="G71" s="82"/>
      <c r="H71" s="140"/>
      <c r="I71" s="135"/>
      <c r="J71" s="129"/>
      <c r="K71" s="132"/>
    </row>
    <row r="72" spans="2:11" s="22" customFormat="1" ht="30" customHeight="1" x14ac:dyDescent="0.3">
      <c r="B72" s="80" t="s">
        <v>23</v>
      </c>
      <c r="C72" s="80"/>
      <c r="D72" s="80"/>
      <c r="E72" s="80"/>
      <c r="F72" s="80"/>
      <c r="G72" s="80"/>
      <c r="H72" s="80"/>
      <c r="I72" s="80"/>
      <c r="J72" s="80"/>
      <c r="K72" s="48">
        <f>K32+K37+K67+K59</f>
        <v>49632000</v>
      </c>
    </row>
    <row r="73" spans="2:11" ht="16.5" customHeight="1" x14ac:dyDescent="0.25">
      <c r="B73" s="2"/>
      <c r="C73" s="2"/>
      <c r="D73" s="15"/>
      <c r="E73" s="15"/>
      <c r="F73" s="15"/>
      <c r="G73" s="2"/>
      <c r="H73" s="2"/>
      <c r="I73" s="12"/>
      <c r="J73" s="2"/>
      <c r="K73" s="2"/>
    </row>
    <row r="74" spans="2:11" x14ac:dyDescent="0.25">
      <c r="B74" s="10" t="s">
        <v>45</v>
      </c>
      <c r="C74" s="10"/>
      <c r="D74" s="15"/>
      <c r="E74" s="15"/>
      <c r="F74" s="15"/>
      <c r="G74" s="2"/>
      <c r="H74" s="2"/>
      <c r="I74" s="12"/>
      <c r="J74" s="2"/>
      <c r="K74" s="11" t="s">
        <v>16</v>
      </c>
    </row>
    <row r="75" spans="2:11" ht="20.100000000000001" customHeight="1" x14ac:dyDescent="0.25">
      <c r="B75" s="74" t="s">
        <v>1</v>
      </c>
      <c r="C75" s="74"/>
      <c r="D75" s="74"/>
      <c r="E75" s="75"/>
      <c r="F75" s="73" t="s">
        <v>43</v>
      </c>
      <c r="G75" s="74"/>
      <c r="H75" s="74"/>
      <c r="I75" s="74"/>
      <c r="J75" s="75"/>
      <c r="K75" s="50" t="s">
        <v>39</v>
      </c>
    </row>
    <row r="76" spans="2:11" s="3" customFormat="1" ht="20.100000000000001" customHeight="1" x14ac:dyDescent="0.2">
      <c r="B76" s="100" t="s">
        <v>40</v>
      </c>
      <c r="C76" s="100"/>
      <c r="D76" s="100"/>
      <c r="E76" s="101"/>
      <c r="F76" s="97" t="s">
        <v>44</v>
      </c>
      <c r="G76" s="98"/>
      <c r="H76" s="98"/>
      <c r="I76" s="98"/>
      <c r="J76" s="99"/>
      <c r="K76" s="51">
        <v>7128530</v>
      </c>
    </row>
    <row r="77" spans="2:11" s="3" customFormat="1" ht="20.100000000000001" customHeight="1" x14ac:dyDescent="0.2">
      <c r="B77" s="100" t="s">
        <v>49</v>
      </c>
      <c r="C77" s="101"/>
      <c r="D77" s="102">
        <v>0.75</v>
      </c>
      <c r="E77" s="103"/>
      <c r="F77" s="97" t="s">
        <v>50</v>
      </c>
      <c r="G77" s="98"/>
      <c r="H77" s="98"/>
      <c r="I77" s="98"/>
      <c r="J77" s="99"/>
      <c r="K77" s="54">
        <f>K76*D77</f>
        <v>5346397.5</v>
      </c>
    </row>
    <row r="78" spans="2:11" s="3" customFormat="1" ht="20.100000000000001" customHeight="1" x14ac:dyDescent="0.2">
      <c r="B78" s="100" t="s">
        <v>24</v>
      </c>
      <c r="C78" s="101"/>
      <c r="D78" s="102">
        <v>1.44</v>
      </c>
      <c r="E78" s="103"/>
      <c r="F78" s="97" t="s">
        <v>41</v>
      </c>
      <c r="G78" s="98"/>
      <c r="H78" s="98"/>
      <c r="I78" s="98"/>
      <c r="J78" s="99"/>
      <c r="K78" s="52">
        <f>K77*D78</f>
        <v>7698812.3999999994</v>
      </c>
    </row>
    <row r="79" spans="2:11" s="3" customFormat="1" ht="20.100000000000001" customHeight="1" x14ac:dyDescent="0.2">
      <c r="B79" s="100" t="s">
        <v>25</v>
      </c>
      <c r="C79" s="101"/>
      <c r="D79" s="102">
        <v>0.2</v>
      </c>
      <c r="E79" s="103"/>
      <c r="F79" s="97" t="s">
        <v>42</v>
      </c>
      <c r="G79" s="98"/>
      <c r="H79" s="98"/>
      <c r="I79" s="98"/>
      <c r="J79" s="99"/>
      <c r="K79" s="52">
        <f>(K77+K78)*D79</f>
        <v>2609041.98</v>
      </c>
    </row>
    <row r="80" spans="2:11" s="3" customFormat="1" ht="20.100000000000001" customHeight="1" x14ac:dyDescent="0.2">
      <c r="B80" s="100" t="s">
        <v>48</v>
      </c>
      <c r="C80" s="100"/>
      <c r="D80" s="100"/>
      <c r="E80" s="101"/>
      <c r="F80" s="97" t="s">
        <v>31</v>
      </c>
      <c r="G80" s="98"/>
      <c r="H80" s="98"/>
      <c r="I80" s="98"/>
      <c r="J80" s="99"/>
      <c r="K80" s="51">
        <v>0</v>
      </c>
    </row>
    <row r="81" spans="2:12" s="3" customFormat="1" ht="20.100000000000001" customHeight="1" x14ac:dyDescent="0.2">
      <c r="B81" s="100" t="s">
        <v>46</v>
      </c>
      <c r="C81" s="100"/>
      <c r="D81" s="100"/>
      <c r="E81" s="101"/>
      <c r="F81" s="97" t="s">
        <v>47</v>
      </c>
      <c r="G81" s="98"/>
      <c r="H81" s="98"/>
      <c r="I81" s="98"/>
      <c r="J81" s="99"/>
      <c r="K81" s="53">
        <f>SUM(K77:K80)</f>
        <v>15654251.879999999</v>
      </c>
      <c r="L81" s="60">
        <f>ROUNDDOWN(K81/20.8,-3)</f>
        <v>752000</v>
      </c>
    </row>
    <row r="82" spans="2:12" s="3" customFormat="1" ht="18" customHeight="1" x14ac:dyDescent="0.2">
      <c r="B82" s="96" t="s">
        <v>51</v>
      </c>
      <c r="C82" s="96"/>
      <c r="D82" s="96"/>
      <c r="E82" s="96"/>
      <c r="F82" s="96"/>
      <c r="G82" s="96"/>
      <c r="H82" s="96"/>
      <c r="I82" s="96"/>
      <c r="J82" s="96"/>
      <c r="K82" s="96"/>
    </row>
  </sheetData>
  <mergeCells count="120">
    <mergeCell ref="B23:K23"/>
    <mergeCell ref="B22:J22"/>
    <mergeCell ref="K33:K36"/>
    <mergeCell ref="C31:G31"/>
    <mergeCell ref="I33:I36"/>
    <mergeCell ref="B17:B21"/>
    <mergeCell ref="D35:G35"/>
    <mergeCell ref="F43:G43"/>
    <mergeCell ref="F41:G41"/>
    <mergeCell ref="F39:G39"/>
    <mergeCell ref="F40:G40"/>
    <mergeCell ref="F42:G42"/>
    <mergeCell ref="B32:B36"/>
    <mergeCell ref="F57:G57"/>
    <mergeCell ref="F58:G58"/>
    <mergeCell ref="F56:G56"/>
    <mergeCell ref="D59:G59"/>
    <mergeCell ref="H60:H62"/>
    <mergeCell ref="I60:I62"/>
    <mergeCell ref="J60:J62"/>
    <mergeCell ref="F61:G61"/>
    <mergeCell ref="J33:J36"/>
    <mergeCell ref="F66:G66"/>
    <mergeCell ref="K60:K62"/>
    <mergeCell ref="F62:G62"/>
    <mergeCell ref="F63:G63"/>
    <mergeCell ref="H63:H65"/>
    <mergeCell ref="I63:I65"/>
    <mergeCell ref="J63:J65"/>
    <mergeCell ref="K63:K65"/>
    <mergeCell ref="F64:G64"/>
    <mergeCell ref="F65:G65"/>
    <mergeCell ref="J68:J71"/>
    <mergeCell ref="K68:K71"/>
    <mergeCell ref="H38:H44"/>
    <mergeCell ref="H45:H46"/>
    <mergeCell ref="I68:I71"/>
    <mergeCell ref="K52:K54"/>
    <mergeCell ref="K45:K46"/>
    <mergeCell ref="J45:J46"/>
    <mergeCell ref="K38:K44"/>
    <mergeCell ref="J38:J44"/>
    <mergeCell ref="J47:J49"/>
    <mergeCell ref="K47:K49"/>
    <mergeCell ref="I45:I46"/>
    <mergeCell ref="H68:H71"/>
    <mergeCell ref="I47:I49"/>
    <mergeCell ref="H52:H54"/>
    <mergeCell ref="K50:K51"/>
    <mergeCell ref="H55:H58"/>
    <mergeCell ref="I55:I58"/>
    <mergeCell ref="J55:J58"/>
    <mergeCell ref="K55:K58"/>
    <mergeCell ref="H47:H49"/>
    <mergeCell ref="F48:G48"/>
    <mergeCell ref="F55:G55"/>
    <mergeCell ref="F49:G49"/>
    <mergeCell ref="D32:G32"/>
    <mergeCell ref="D33:G33"/>
    <mergeCell ref="D36:G36"/>
    <mergeCell ref="H33:H36"/>
    <mergeCell ref="D34:G34"/>
    <mergeCell ref="M3:M5"/>
    <mergeCell ref="M2:N2"/>
    <mergeCell ref="D21:J21"/>
    <mergeCell ref="D17:J17"/>
    <mergeCell ref="D10:F10"/>
    <mergeCell ref="D11:F11"/>
    <mergeCell ref="D12:F12"/>
    <mergeCell ref="D18:J18"/>
    <mergeCell ref="B7:K7"/>
    <mergeCell ref="I10:K10"/>
    <mergeCell ref="H11:H12"/>
    <mergeCell ref="I11:K12"/>
    <mergeCell ref="B15:I15"/>
    <mergeCell ref="J15:K15"/>
    <mergeCell ref="D19:J19"/>
    <mergeCell ref="M6:P6"/>
    <mergeCell ref="C16:J16"/>
    <mergeCell ref="D20:J20"/>
    <mergeCell ref="B82:K82"/>
    <mergeCell ref="F76:J76"/>
    <mergeCell ref="F77:J77"/>
    <mergeCell ref="F78:J78"/>
    <mergeCell ref="F79:J79"/>
    <mergeCell ref="F80:J80"/>
    <mergeCell ref="F81:J81"/>
    <mergeCell ref="B78:C78"/>
    <mergeCell ref="B79:C79"/>
    <mergeCell ref="B80:E80"/>
    <mergeCell ref="B81:E81"/>
    <mergeCell ref="B76:E76"/>
    <mergeCell ref="D77:E77"/>
    <mergeCell ref="D78:E78"/>
    <mergeCell ref="D79:E79"/>
    <mergeCell ref="B77:C77"/>
    <mergeCell ref="F75:J75"/>
    <mergeCell ref="D68:G68"/>
    <mergeCell ref="B37:B66"/>
    <mergeCell ref="D70:G70"/>
    <mergeCell ref="B72:J72"/>
    <mergeCell ref="D71:G71"/>
    <mergeCell ref="B67:B71"/>
    <mergeCell ref="D67:G67"/>
    <mergeCell ref="B75:E75"/>
    <mergeCell ref="F44:G44"/>
    <mergeCell ref="I38:I44"/>
    <mergeCell ref="F45:G45"/>
    <mergeCell ref="D69:G69"/>
    <mergeCell ref="J52:J54"/>
    <mergeCell ref="I52:I54"/>
    <mergeCell ref="H50:H51"/>
    <mergeCell ref="I50:I51"/>
    <mergeCell ref="J50:J51"/>
    <mergeCell ref="F51:G51"/>
    <mergeCell ref="F54:G54"/>
    <mergeCell ref="F53:G53"/>
    <mergeCell ref="F46:G46"/>
    <mergeCell ref="D37:G37"/>
    <mergeCell ref="F47:G47"/>
  </mergeCells>
  <phoneticPr fontId="6" type="noConversion"/>
  <pageMargins left="0.7" right="0.7" top="0.75" bottom="0.75" header="0.3" footer="0.3"/>
  <pageSetup paperSize="9" scale="76" fitToHeight="0" orientation="portrait" r:id="rId1"/>
  <rowBreaks count="2" manualBreakCount="2">
    <brk id="28" max="16383" man="1"/>
    <brk id="71" min="1" max="10" man="1"/>
  </rowBreaks>
  <ignoredErrors>
    <ignoredError sqref="K67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D90046A341F8E42A0749A7029CC7047" ma:contentTypeVersion="8" ma:contentTypeDescription="새 문서를 만듭니다." ma:contentTypeScope="" ma:versionID="ac0772db852c73cdb4f0a4e92a5b3945">
  <xsd:schema xmlns:xsd="http://www.w3.org/2001/XMLSchema" xmlns:xs="http://www.w3.org/2001/XMLSchema" xmlns:p="http://schemas.microsoft.com/office/2006/metadata/properties" xmlns:ns3="4e98f79e-0997-4791-80a7-2165f5a1dbf3" targetNamespace="http://schemas.microsoft.com/office/2006/metadata/properties" ma:root="true" ma:fieldsID="fe568edbdba4cc03179c7d9717b60ada" ns3:_="">
    <xsd:import namespace="4e98f79e-0997-4791-80a7-2165f5a1db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8f79e-0997-4791-80a7-2165f5a1db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1922A-AB98-42B6-AB3B-A21BAE06EC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5D52C5-C06C-46E0-9F05-8AF64DD383C2}">
  <ds:schemaRefs>
    <ds:schemaRef ds:uri="http://schemas.openxmlformats.org/package/2006/metadata/core-properties"/>
    <ds:schemaRef ds:uri="4e98f79e-0997-4791-80a7-2165f5a1dbf3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21FB2BC-BE43-4BBC-92B6-BD66AEFC4E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8f79e-0997-4791-80a7-2165f5a1db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견적서</vt:lpstr>
      <vt:lpstr>Chart1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kslhunter</dc:creator>
  <cp:lastModifiedBy>윤석환</cp:lastModifiedBy>
  <cp:lastPrinted>2024-12-20T13:08:58Z</cp:lastPrinted>
  <dcterms:created xsi:type="dcterms:W3CDTF">2015-06-05T18:19:34Z</dcterms:created>
  <dcterms:modified xsi:type="dcterms:W3CDTF">2025-01-06T02:39:06Z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0x0101006D90046A341F8E42A0749A7029CC7047</vt:lpwstr>
  </property>
</Properties>
</file>